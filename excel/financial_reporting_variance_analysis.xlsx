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wnloads\Data Analytics 101\For GitHub Portfolio\Finance Project Variance Analysis\excel\"/>
    </mc:Choice>
  </mc:AlternateContent>
  <xr:revisionPtr revIDLastSave="0" documentId="13_ncr:1_{2C7A7BC3-BC6F-450E-9025-4D73A80DEA1E}" xr6:coauthVersionLast="47" xr6:coauthVersionMax="47" xr10:uidLastSave="{00000000-0000-0000-0000-000000000000}"/>
  <bookViews>
    <workbookView xWindow="-135" yWindow="-135" windowWidth="29070" windowHeight="16470" tabRatio="772" activeTab="2" xr2:uid="{00000000-000D-0000-FFFF-FFFF00000000}"/>
  </bookViews>
  <sheets>
    <sheet name="00_Control" sheetId="1" r:id="rId1"/>
    <sheet name="01_Reconciliation" sheetId="2" r:id="rId2"/>
    <sheet name="02_Budget_vs_Actual" sheetId="3" r:id="rId3"/>
    <sheet name="03_Branch_Analysis" sheetId="4" r:id="rId4"/>
    <sheet name="04_Department_Analysis" sheetId="5" r:id="rId5"/>
    <sheet name="05_Account_Analysis" sheetId="6" r:id="rId6"/>
    <sheet name="06_Exceptions" sheetId="7" r:id="rId7"/>
  </sheets>
  <definedNames>
    <definedName name="ExternalData_1" localSheetId="1" hidden="1">'01_Reconciliation'!$A$4:$J$23</definedName>
    <definedName name="ExternalData_1" localSheetId="2" hidden="1">'02_Budget_vs_Actual'!$A$8:$AB$20</definedName>
    <definedName name="ExternalData_1" localSheetId="3" hidden="1">'03_Branch_Analysis'!$A$6:$X$10</definedName>
    <definedName name="ExternalData_1" localSheetId="4" hidden="1">'04_Department_Analysis'!$A$6:$X$10</definedName>
    <definedName name="ExternalData_1" localSheetId="5" hidden="1">'05_Account_Analysis'!$A$6:$O$27</definedName>
    <definedName name="ExternalData_1" localSheetId="6" hidden="1">'06_Exceptions'!$A$6:$D$14</definedName>
    <definedName name="ExternalData_2" localSheetId="1" hidden="1">'01_Reconciliation'!$A$25:$M$37</definedName>
    <definedName name="ExternalData_2" localSheetId="5" hidden="1">'05_Account_Analysis'!$A$30:$H$40</definedName>
    <definedName name="ExternalData_2" localSheetId="6" hidden="1">'06_Exceptions'!$A$18:$P$29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" i="1" l="1"/>
  <c r="A18" i="1"/>
  <c r="A17" i="1"/>
  <c r="A16" i="1"/>
  <c r="A15" i="1"/>
  <c r="A14" i="1"/>
  <c r="G10" i="1"/>
  <c r="E10" i="1"/>
  <c r="C10" i="1"/>
  <c r="A10" i="1"/>
  <c r="G6" i="1"/>
  <c r="E6" i="1"/>
  <c r="C6" i="1"/>
  <c r="A6" i="1"/>
  <c r="P5" i="3"/>
  <c r="M5" i="3"/>
  <c r="J5" i="3"/>
  <c r="G5" i="3"/>
  <c r="D5" i="3"/>
  <c r="A5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5EF4E2-3E02-4967-8E8F-6B277955974D}" keepAlive="1" name="Query - agg_Actual_Monthly" description="Connection to the 'agg_Actual_Monthly' query in the workbook." type="5" refreshedVersion="0" background="1">
    <dbPr connection="Provider=Microsoft.Mashup.OleDb.1;Data Source=$Workbook$;Location=agg_Actual_Monthly;Extended Properties=&quot;&quot;" command="SELECT * FROM [agg_Actual_Monthly]"/>
  </connection>
  <connection id="2" xr16:uid="{F33453FE-E183-4AC6-B46A-520F587FCA65}" keepAlive="1" name="Query - agg_Budget_Monthly" description="Connection to the 'agg_Budget_Monthly' query in the workbook." type="5" refreshedVersion="0" background="1">
    <dbPr connection="Provider=Microsoft.Mashup.OleDb.1;Data Source=$Workbook$;Location=agg_Budget_Monthly;Extended Properties=&quot;&quot;" command="SELECT * FROM [agg_Budget_Monthly]"/>
  </connection>
  <connection id="3" xr16:uid="{6A54DE79-750A-464A-AD48-273CE72381BC}" keepAlive="1" name="Query - chk_ActualWithoutBudget" description="Connection to the 'chk_ActualWithoutBudget' query in the workbook." type="5" refreshedVersion="0" background="1">
    <dbPr connection="Provider=Microsoft.Mashup.OleDb.1;Data Source=$Workbook$;Location=chk_ActualWithoutBudget;Extended Properties=&quot;&quot;" command="SELECT * FROM [chk_ActualWithoutBudget]"/>
  </connection>
  <connection id="4" xr16:uid="{615F0600-D572-47E2-AD7F-B5857CAB04C7}" keepAlive="1" name="Query - chk_Budget_MissingLines" description="Connection to the 'chk_Budget_MissingLines' query in the workbook." type="5" refreshedVersion="0" background="1">
    <dbPr connection="Provider=Microsoft.Mashup.OleDb.1;Data Source=$Workbook$;Location=chk_Budget_MissingLines;Extended Properties=&quot;&quot;" command="SELECT * FROM [chk_Budget_MissingLines]"/>
  </connection>
  <connection id="5" xr16:uid="{C5FC4ABA-932F-41FD-A4D2-0566463BD558}" keepAlive="1" name="Query - chk_BudgetExpected" description="Connection to the 'chk_BudgetExpected' query in the workbook." type="5" refreshedVersion="0" background="1">
    <dbPr connection="Provider=Microsoft.Mashup.OleDb.1;Data Source=$Workbook$;Location=chk_BudgetExpected;Extended Properties=&quot;&quot;" command="SELECT * FROM [chk_BudgetExpected]"/>
  </connection>
  <connection id="6" xr16:uid="{D437EAC8-4D8F-4067-A92F-D94A22775FDA}" keepAlive="1" name="Query - chk_BudgetKey_Counts" description="Connection to the 'chk_BudgetKey_Counts' query in the workbook." type="5" refreshedVersion="0" background="1">
    <dbPr connection="Provider=Microsoft.Mashup.OleDb.1;Data Source=$Workbook$;Location=chk_BudgetKey_Counts;Extended Properties=&quot;&quot;" command="SELECT * FROM [chk_BudgetKey_Counts]"/>
  </connection>
  <connection id="7" xr16:uid="{92C3C9AA-D271-42FC-9B50-581ABCE1C920}" keepAlive="1" name="Query - chk_BudgetScope" description="Connection to the 'chk_BudgetScope' query in the workbook." type="5" refreshedVersion="0" background="1">
    <dbPr connection="Provider=Microsoft.Mashup.OleDb.1;Data Source=$Workbook$;Location=chk_BudgetScope;Extended Properties=&quot;&quot;" command="SELECT * FROM [chk_BudgetScope]"/>
  </connection>
  <connection id="8" xr16:uid="{13A76A91-6145-407A-8AEC-212CF14F54B1}" keepAlive="1" name="Query - chk_BudgetWithoutActual" description="Connection to the 'chk_BudgetWithoutActual' query in the workbook." type="5" refreshedVersion="0" background="1">
    <dbPr connection="Provider=Microsoft.Mashup.OleDb.1;Data Source=$Workbook$;Location=chk_BudgetWithoutActual;Extended Properties=&quot;&quot;" command="SELECT * FROM [chk_BudgetWithoutActual]"/>
  </connection>
  <connection id="9" xr16:uid="{477D9368-C2BC-4887-B5E5-77E769729887}" keepAlive="1" name="Query - chk_TransactionID_Counts" description="Connection to the 'chk_TransactionID_Counts' query in the workbook." type="5" refreshedVersion="0" background="1">
    <dbPr connection="Provider=Microsoft.Mashup.OleDb.1;Data Source=$Workbook$;Location=chk_TransactionID_Counts;Extended Properties=&quot;&quot;" command="SELECT * FROM [chk_TransactionID_Counts]"/>
  </connection>
  <connection id="10" xr16:uid="{E41A760B-F07D-4405-A2DB-DFF57DBB76FA}" keepAlive="1" name="Query - chk_VendorDocument_Counts" description="Connection to the 'chk_VendorDocument_Counts' query in the workbook." type="5" refreshedVersion="0" background="1">
    <dbPr connection="Provider=Microsoft.Mashup.OleDb.1;Data Source=$Workbook$;Location=chk_VendorDocument_Counts;Extended Properties=&quot;&quot;" command="SELECT * FROM [chk_VendorDocument_Counts]"/>
  </connection>
  <connection id="11" xr16:uid="{0A06A38E-AB83-493D-A49A-2B1B96003BAB}" keepAlive="1" name="Query - ctrl_MontyReconciliation" description="Connection to the 'ctrl_MontyReconciliation' query in the workbook." type="5" refreshedVersion="8" background="1" saveData="1">
    <dbPr connection="Provider=Microsoft.Mashup.OleDb.1;Data Source=$Workbook$;Location=ctrl_MontyReconciliation;Extended Properties=&quot;&quot;" command="SELECT * FROM [ctrl_MontyReconciliation]"/>
  </connection>
  <connection id="12" xr16:uid="{C34D6CE9-1868-4E2E-A9D1-0E49009DBC26}" keepAlive="1" name="Query - ctrl_ReconciliationSummary" description="Connection to the 'ctrl_ReconciliationSummary' query in the workbook." type="5" refreshedVersion="8" background="1" saveData="1">
    <dbPr connection="Provider=Microsoft.Mashup.OleDb.1;Data Source=$Workbook$;Location=ctrl_ReconciliationSummary;Extended Properties=&quot;&quot;" command="SELECT * FROM [ctrl_ReconciliationSummary]"/>
  </connection>
  <connection id="13" xr16:uid="{F65A4054-EAEF-4153-8225-73C697FACB77}" keepAlive="1" name="Query - ctrl_ReconciliationSummary1" description="Connection to the 'ctrl_ReconciliationSummary' query in the workbook." type="5" refreshedVersion="0" background="1">
    <dbPr connection="Provider=Microsoft.Mashup.OleDb.1;Data Source=$Workbook$;Location=ctrl_ReconciliationSummary;Extended Properties=&quot;&quot;" command="SELECT * FROM [ctrl_ReconciliationSummary]"/>
  </connection>
  <connection id="14" xr16:uid="{1A83AD91-1AEC-4906-BD95-3181D4AA2009}" keepAlive="1" name="Query - dim_Account" description="Connection to the 'dim_Account' query in the workbook." type="5" refreshedVersion="0" background="1">
    <dbPr connection="Provider=Microsoft.Mashup.OleDb.1;Data Source=$Workbook$;Location=dim_Account;Extended Properties=&quot;&quot;" command="SELECT * FROM [dim_Account]"/>
  </connection>
  <connection id="15" xr16:uid="{A3A8F415-28DF-40DE-8A78-7A35CC8A5349}" keepAlive="1" name="Query - dim_Branch" description="Connection to the 'dim_Branch' query in the workbook." type="5" refreshedVersion="0" background="1">
    <dbPr connection="Provider=Microsoft.Mashup.OleDb.1;Data Source=$Workbook$;Location=dim_Branch;Extended Properties=&quot;&quot;" command="SELECT * FROM [dim_Branch]"/>
  </connection>
  <connection id="16" xr16:uid="{6466F293-204C-48F3-88E0-499363CD7289}" keepAlive="1" name="Query - dim_Department" description="Connection to the 'dim_Department' query in the workbook." type="5" refreshedVersion="0" background="1">
    <dbPr connection="Provider=Microsoft.Mashup.OleDb.1;Data Source=$Workbook$;Location=dim_Department;Extended Properties=&quot;&quot;" command="SELECT * FROM [dim_Department]"/>
  </connection>
  <connection id="17" xr16:uid="{081167FD-D8FE-432E-89EF-EA8D9B83F213}" keepAlive="1" name="Query - dim_Month" description="Connection to the 'dim_Month' query in the workbook." type="5" refreshedVersion="0" background="1">
    <dbPr connection="Provider=Microsoft.Mashup.OleDb.1;Data Source=$Workbook$;Location=dim_Month;Extended Properties=&quot;&quot;" command="SELECT * FROM [dim_Month]"/>
  </connection>
  <connection id="18" xr16:uid="{CB1F2A9B-8E6C-41D0-8A4E-126360FCEC52}" keepAlive="1" name="Query - dim_Vendor" description="Connection to the 'dim_Vendor' query in the workbook." type="5" refreshedVersion="0" background="1">
    <dbPr connection="Provider=Microsoft.Mashup.OleDb.1;Data Source=$Workbook$;Location=dim_Vendor;Extended Properties=&quot;&quot;" command="SELECT * FROM [dim_Vendor]"/>
  </connection>
  <connection id="19" xr16:uid="{112941B9-AE93-4627-8C54-F2E5745CD77C}" keepAlive="1" name="Query - fact_Actual_Clean" description="Connection to the 'fact_Actual_Clean' query in the workbook." type="5" refreshedVersion="0" background="1">
    <dbPr connection="Provider=Microsoft.Mashup.OleDb.1;Data Source=$Workbook$;Location=fact_Actual_Clean;Extended Properties=&quot;&quot;" command="SELECT * FROM [fact_Actual_Clean]"/>
  </connection>
  <connection id="20" xr16:uid="{0164659C-A97F-4661-81E4-8FFB57429E90}" keepAlive="1" name="Query - fact_Actual_Processed" description="Connection to the 'fact_Actual_Processed' query in the workbook." type="5" refreshedVersion="0" background="1">
    <dbPr connection="Provider=Microsoft.Mashup.OleDb.1;Data Source=$Workbook$;Location=fact_Actual_Processed;Extended Properties=&quot;&quot;" command="SELECT * FROM [fact_Actual_Processed]"/>
  </connection>
  <connection id="21" xr16:uid="{1DA69E5B-9037-4729-BE98-8CDD8BF18EE8}" keepAlive="1" name="Query - fact_Actual_Raw" description="Connection to the 'fact_Actual_Raw' query in the workbook." type="5" refreshedVersion="0" background="1">
    <dbPr connection="Provider=Microsoft.Mashup.OleDb.1;Data Source=$Workbook$;Location=fact_Actual_Raw;Extended Properties=&quot;&quot;" command="SELECT * FROM [fact_Actual_Raw]"/>
  </connection>
  <connection id="22" xr16:uid="{F1352441-6DA4-4F65-A0EA-D43C9B6900A0}" keepAlive="1" name="Query - fact_Budget_Clean" description="Connection to the 'fact_Budget_Clean' query in the workbook." type="5" refreshedVersion="0" background="1">
    <dbPr connection="Provider=Microsoft.Mashup.OleDb.1;Data Source=$Workbook$;Location=fact_Budget_Clean;Extended Properties=&quot;&quot;" command="SELECT * FROM [fact_Budget_Clean]"/>
  </connection>
  <connection id="23" xr16:uid="{264F1DBA-DCBD-47F9-A904-60120D6549F0}" keepAlive="1" name="Query - fact_Budget_Processed" description="Connection to the 'fact_Budget_Processed' query in the workbook." type="5" refreshedVersion="0" background="1">
    <dbPr connection="Provider=Microsoft.Mashup.OleDb.1;Data Source=$Workbook$;Location=fact_Budget_Processed;Extended Properties=&quot;&quot;" command="SELECT * FROM [fact_Budget_Processed]"/>
  </connection>
  <connection id="24" xr16:uid="{6A617288-1D60-49ED-AC15-549A426167A8}" keepAlive="1" name="Query - fact_Budget_Raw" description="Connection to the 'fact_Budget_Raw' query in the workbook." type="5" refreshedVersion="0" background="1">
    <dbPr connection="Provider=Microsoft.Mashup.OleDb.1;Data Source=$Workbook$;Location=fact_Budget_Raw;Extended Properties=&quot;&quot;" command="SELECT * FROM [fact_Budget_Raw]"/>
  </connection>
  <connection id="25" xr16:uid="{2287497A-5809-4291-8BD6-D00F8D216797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26" xr16:uid="{8BC29634-DF25-42DD-B36B-48595BC1B39F}" keepAlive="1" name="Query - rpt_AccountSummary" description="Connection to the 'rpt_AccountSummary' query in the workbook." type="5" refreshedVersion="8" background="1" saveData="1">
    <dbPr connection="Provider=Microsoft.Mashup.OleDb.1;Data Source=$Workbook$;Location=rpt_AccountSummary;Extended Properties=&quot;&quot;" command="SELECT * FROM [rpt_AccountSummary]"/>
  </connection>
  <connection id="27" xr16:uid="{C90E2C0F-0F4F-4E92-99CA-5608C2281CCA}" keepAlive="1" name="Query - rpt_ActualExceptions" description="Connection to the 'rpt_ActualExceptions' query in the workbook." type="5" refreshedVersion="0" background="1">
    <dbPr connection="Provider=Microsoft.Mashup.OleDb.1;Data Source=$Workbook$;Location=rpt_ActualExceptions;Extended Properties=&quot;&quot;" command="SELECT * FROM [rpt_ActualExceptions]"/>
  </connection>
  <connection id="28" xr16:uid="{6D00FD31-E91C-44DE-B1E2-A1C701F66946}" keepAlive="1" name="Query - rpt_BranchSummary" description="Connection to the 'rpt_BranchSummary' query in the workbook." type="5" refreshedVersion="8" background="1" saveData="1">
    <dbPr connection="Provider=Microsoft.Mashup.OleDb.1;Data Source=$Workbook$;Location=rpt_BranchSummary;Extended Properties=&quot;&quot;" command="SELECT * FROM [rpt_BranchSummary]"/>
  </connection>
  <connection id="29" xr16:uid="{417D2AE6-25D5-4AD7-9455-580293E2C25A}" keepAlive="1" name="Query - rpt_BudgetExceptions" description="Connection to the 'rpt_BudgetExceptions' query in the workbook." type="5" refreshedVersion="0" background="1">
    <dbPr connection="Provider=Microsoft.Mashup.OleDb.1;Data Source=$Workbook$;Location=rpt_BudgetExceptions;Extended Properties=&quot;&quot;" command="SELECT * FROM [rpt_BudgetExceptions]"/>
  </connection>
  <connection id="30" xr16:uid="{748A446B-4B1A-4043-8628-7FA225BDFC92}" keepAlive="1" name="Query - rpt_BudgetVsActual" description="Connection to the 'rpt_BudgetVsActual' query in the workbook." type="5" refreshedVersion="0" background="1">
    <dbPr connection="Provider=Microsoft.Mashup.OleDb.1;Data Source=$Workbook$;Location=rpt_BudgetVsActual;Extended Properties=&quot;&quot;" command="SELECT * FROM [rpt_BudgetVsActual]"/>
  </connection>
  <connection id="31" xr16:uid="{B047C3A4-6DA4-4896-9D43-163ACADDCAB6}" keepAlive="1" name="Query - rpt_DepartmentSummary" description="Connection to the 'rpt_DepartmentSummary' query in the workbook." type="5" refreshedVersion="8" background="1" saveData="1">
    <dbPr connection="Provider=Microsoft.Mashup.OleDb.1;Data Source=$Workbook$;Location=rpt_DepartmentSummary;Extended Properties=&quot;&quot;" command="SELECT * FROM [rpt_DepartmentSummary]"/>
  </connection>
  <connection id="32" xr16:uid="{09E63707-45CE-4C57-BDAE-0C062165E6CC}" keepAlive="1" name="Query - rpt_Exceptions" description="Connection to the 'rpt_Exceptions' query in the workbook." type="5" refreshedVersion="8" background="1" saveData="1">
    <dbPr connection="Provider=Microsoft.Mashup.OleDb.1;Data Source=$Workbook$;Location=rpt_Exceptions;Extended Properties=&quot;&quot;" command="SELECT * FROM [rpt_Exceptions]"/>
  </connection>
  <connection id="33" xr16:uid="{E4D086FC-FDD4-4B37-9D7A-C99B90926BC7}" keepAlive="1" name="Query - rpt_ExceptionSummary" description="Connection to the 'rpt_ExceptionSummary' query in the workbook." type="5" refreshedVersion="8" background="1" saveData="1">
    <dbPr connection="Provider=Microsoft.Mashup.OleDb.1;Data Source=$Workbook$;Location=rpt_ExceptionSummary;Extended Properties=&quot;&quot;" command="SELECT * FROM [rpt_ExceptionSummary]"/>
  </connection>
  <connection id="34" xr16:uid="{0CBD7E00-7B9A-44F2-A57C-E699740257BF}" keepAlive="1" name="Query - rpt_MonthlyPLSummary" description="Connection to the 'rpt_MonthlyPLSummary' query in the workbook." type="5" refreshedVersion="8" background="1" saveData="1">
    <dbPr connection="Provider=Microsoft.Mashup.OleDb.1;Data Source=$Workbook$;Location=rpt_MonthlyPLSummary;Extended Properties=&quot;&quot;" command="SELECT * FROM [rpt_MonthlyPLSummary]"/>
  </connection>
  <connection id="35" xr16:uid="{C488958D-A727-4048-BA3B-FC25B929AC05}" keepAlive="1" name="Query - rpt_TopAccountVariances" description="Connection to the 'rpt_TopAccountVariances' query in the workbook." type="5" refreshedVersion="8" background="1" saveData="1">
    <dbPr connection="Provider=Microsoft.Mashup.OleDb.1;Data Source=$Workbook$;Location=rpt_TopAccountVariances;Extended Properties=&quot;&quot;" command="SELECT * FROM [rpt_TopAccountVariances]"/>
  </connection>
  <connection id="36" xr16:uid="{7AB7B669-07F8-4421-B6CD-FA561A0D6AC6}" keepAlive="1" name="Query - rpt_TopAccountVariances1" description="Connection to the 'rpt_TopAccountVariances' query in the workbook." type="5" refreshedVersion="0" background="1">
    <dbPr connection="Provider=Microsoft.Mashup.OleDb.1;Data Source=$Workbook$;Location=rpt_TopAccountVariances;Extended Properties=&quot;&quot;" command="SELECT * FROM [rpt_TopAccountVariances]"/>
  </connection>
  <connection id="37" xr16:uid="{022D3D0D-1F21-4226-9B2A-B5860F67C179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38" xr16:uid="{AB47C380-A592-4F5C-A227-4C19009BBA06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39" xr16:uid="{6D9C971A-04CB-4C67-B474-33036E3197B8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<sst xmlns="http://schemas.openxmlformats.org/spreadsheetml/2006/main" count="816" uniqueCount="396">
  <si>
    <t>Reconciliation and Control Checks</t>
  </si>
  <si>
    <t>Financial Reporting and Variance Analysis | Reporting Year 2025</t>
  </si>
  <si>
    <t>ControlID</t>
  </si>
  <si>
    <t>ControlArea</t>
  </si>
  <si>
    <t>ControlDescription</t>
  </si>
  <si>
    <t>SourceValue</t>
  </si>
  <si>
    <t>ComparisonValue</t>
  </si>
  <si>
    <t>Difference</t>
  </si>
  <si>
    <t>Unit</t>
  </si>
  <si>
    <t>ExpectedResult</t>
  </si>
  <si>
    <t>ControlStatus</t>
  </si>
  <si>
    <t>Notes</t>
  </si>
  <si>
    <t>ACT-01</t>
  </si>
  <si>
    <t>Actual</t>
  </si>
  <si>
    <t>Raw row count equals clean row count</t>
  </si>
  <si>
    <t>Rows</t>
  </si>
  <si>
    <t>Difference = 0</t>
  </si>
  <si>
    <t>PASS</t>
  </si>
  <si>
    <t>Text cleaning must not add or remove transactions.</t>
  </si>
  <si>
    <t>ACT-02</t>
  </si>
  <si>
    <t>Raw amount equals clean amount</t>
  </si>
  <si>
    <t>RM</t>
  </si>
  <si>
    <t>Trim and Clean should not change transaction amounts.</t>
  </si>
  <si>
    <t>ACT-03</t>
  </si>
  <si>
    <t>One confirmed duplicate removed</t>
  </si>
  <si>
    <t>Difference = -1</t>
  </si>
  <si>
    <t>One copy of TXN-202505-00141 was removed.</t>
  </si>
  <si>
    <t>ACT-04</t>
  </si>
  <si>
    <t>Processed amount reflects one duplicate removal</t>
  </si>
  <si>
    <t>Difference equals one duplicate transaction amount</t>
  </si>
  <si>
    <t>Expected removed amount: RM 7090</t>
  </si>
  <si>
    <t>ACT-05</t>
  </si>
  <si>
    <t>Processed amount equals aggregated actual amount</t>
  </si>
  <si>
    <t>Monthly grouping must preserve the total actual amount.</t>
  </si>
  <si>
    <t>ACT-06</t>
  </si>
  <si>
    <t>Processed rows equal aggregated transaction count</t>
  </si>
  <si>
    <t>Expected total transaction count is 5,828.</t>
  </si>
  <si>
    <t>BUD-01</t>
  </si>
  <si>
    <t>Budget</t>
  </si>
  <si>
    <t>Budget cleaning should not remove existing source lines.</t>
  </si>
  <si>
    <t>BUD-02</t>
  </si>
  <si>
    <t>Budget validation should not change source amounts.</t>
  </si>
  <si>
    <t>BUD-03</t>
  </si>
  <si>
    <t>Expected missing budget key added</t>
  </si>
  <si>
    <t>Difference = 1</t>
  </si>
  <si>
    <t>One missing source key was added with a zero budget.</t>
  </si>
  <si>
    <t>BUD-04</t>
  </si>
  <si>
    <t>Zero-budget addition does not change total budget</t>
  </si>
  <si>
    <t>The added missing key carries a processed budget of RM0.</t>
  </si>
  <si>
    <t>BUD-05</t>
  </si>
  <si>
    <t>Processed budget equals aggregated budget</t>
  </si>
  <si>
    <t>Budget aggregation must preserve the total budget amount.</t>
  </si>
  <si>
    <t>KEY-01</t>
  </si>
  <si>
    <t>Key Coverage</t>
  </si>
  <si>
    <t>Actual combinations without budget</t>
  </si>
  <si>
    <t>Exceptions</t>
  </si>
  <si>
    <t>0 exceptions</t>
  </si>
  <si>
    <t>Every actual reporting key should have a budget key.</t>
  </si>
  <si>
    <t>KEY-02</t>
  </si>
  <si>
    <t>Budget combinations without actual activity</t>
  </si>
  <si>
    <t>Every processed budget key currently has actual activity.</t>
  </si>
  <si>
    <t>RPT-01</t>
  </si>
  <si>
    <t>Reporting</t>
  </si>
  <si>
    <t>Reporting rows equal aggregated budget rows</t>
  </si>
  <si>
    <t>Expected reporting-table row count is 2,160.</t>
  </si>
  <si>
    <t>RPT-02</t>
  </si>
  <si>
    <t>Reporting actual amount equals actual aggregation</t>
  </si>
  <si>
    <t>Actual totals must survive the reporting merge.</t>
  </si>
  <si>
    <t>RPT-03</t>
  </si>
  <si>
    <t>Reporting budget amount equals budget aggregation</t>
  </si>
  <si>
    <t>Budget totals must survive the reporting merge.</t>
  </si>
  <si>
    <t>RPT-04</t>
  </si>
  <si>
    <t>Variance-logic mismatches</t>
  </si>
  <si>
    <t>0 mismatches</t>
  </si>
  <si>
    <t>PLVariance should equal FavourableVariance.</t>
  </si>
  <si>
    <t>RPT-05</t>
  </si>
  <si>
    <t>Missing source budget lines documented</t>
  </si>
  <si>
    <t>1 documented line</t>
  </si>
  <si>
    <t>Expected key: 2025-08 | BR03 | D02 | 6600.</t>
  </si>
  <si>
    <t>RPT-06</t>
  </si>
  <si>
    <t>Reporting combinations without actual activity</t>
  </si>
  <si>
    <t>0 combinations</t>
  </si>
  <si>
    <t>All 2,160 reporting combinations currently contain actual activity.</t>
  </si>
  <si>
    <t>MonthKey</t>
  </si>
  <si>
    <t>MonthStartDate</t>
  </si>
  <si>
    <t>MonthName</t>
  </si>
  <si>
    <t>MonthNumber</t>
  </si>
  <si>
    <t>ActualUnsignedTotal</t>
  </si>
  <si>
    <t>BudgetUnsignedTotal</t>
  </si>
  <si>
    <t>ActualTransactionCount</t>
  </si>
  <si>
    <t>ActualOperatingResult</t>
  </si>
  <si>
    <t>BudgetOperatingResult</t>
  </si>
  <si>
    <t>ReportingRowCount</t>
  </si>
  <si>
    <t>OperatingResultVariance</t>
  </si>
  <si>
    <t>ExpectedReportingRows</t>
  </si>
  <si>
    <t>MonthlyCoverageStatus</t>
  </si>
  <si>
    <t>2025-01</t>
  </si>
  <si>
    <t>January</t>
  </si>
  <si>
    <t>2025-02</t>
  </si>
  <si>
    <t>February</t>
  </si>
  <si>
    <t>2025-03</t>
  </si>
  <si>
    <t>March</t>
  </si>
  <si>
    <t>2025-04</t>
  </si>
  <si>
    <t>April</t>
  </si>
  <si>
    <t>2025-05</t>
  </si>
  <si>
    <t>May</t>
  </si>
  <si>
    <t>2025-06</t>
  </si>
  <si>
    <t>June</t>
  </si>
  <si>
    <t>2025-07</t>
  </si>
  <si>
    <t>July</t>
  </si>
  <si>
    <t>2025-08</t>
  </si>
  <si>
    <t>August</t>
  </si>
  <si>
    <t>2025-09</t>
  </si>
  <si>
    <t>September</t>
  </si>
  <si>
    <t>2025-10</t>
  </si>
  <si>
    <t>October</t>
  </si>
  <si>
    <t>2025-11</t>
  </si>
  <si>
    <t>November</t>
  </si>
  <si>
    <t>2025-12</t>
  </si>
  <si>
    <t>December</t>
  </si>
  <si>
    <t>Budget vs Actual Performance</t>
  </si>
  <si>
    <t>Monthly Management Income Statement Summary | Reporting Year 2025</t>
  </si>
  <si>
    <t>Monthly P&amp;L Summary</t>
  </si>
  <si>
    <t>MonthShortName</t>
  </si>
  <si>
    <t>YearMonthSort</t>
  </si>
  <si>
    <t>ActualRevenue</t>
  </si>
  <si>
    <t>BudgetRevenue</t>
  </si>
  <si>
    <t>RevenueVariance</t>
  </si>
  <si>
    <t>ActualCostOfSales</t>
  </si>
  <si>
    <t>BudgetCostOfSales</t>
  </si>
  <si>
    <t>CostOfSalesVariance</t>
  </si>
  <si>
    <t>ActualGrossProfit</t>
  </si>
  <si>
    <t>BudgetGrossProfit</t>
  </si>
  <si>
    <t>GrossProfitVariance</t>
  </si>
  <si>
    <t>ActualOperatingExpenses</t>
  </si>
  <si>
    <t>BudgetOperatingExpenses</t>
  </si>
  <si>
    <t>OperatingExpensesVariance</t>
  </si>
  <si>
    <t>ActualOperatingProfit</t>
  </si>
  <si>
    <t>BudgetOperatingProfit</t>
  </si>
  <si>
    <t>OperatingProfitVariance</t>
  </si>
  <si>
    <t>ActualOperatingMargin</t>
  </si>
  <si>
    <t>BudgetOperatingMargin</t>
  </si>
  <si>
    <t>OperatingMarginVariance</t>
  </si>
  <si>
    <t>OperatingProfitStatus</t>
  </si>
  <si>
    <t>MissingBudgetLineCount</t>
  </si>
  <si>
    <t>MonthlyVarianceLogicCheck</t>
  </si>
  <si>
    <t>Jan</t>
  </si>
  <si>
    <t>Unfavourable</t>
  </si>
  <si>
    <t>Match</t>
  </si>
  <si>
    <t>Feb</t>
  </si>
  <si>
    <t>Mar</t>
  </si>
  <si>
    <t>Apr</t>
  </si>
  <si>
    <t>Favourable</t>
  </si>
  <si>
    <t>Jun</t>
  </si>
  <si>
    <t>Jul</t>
  </si>
  <si>
    <t>Aug</t>
  </si>
  <si>
    <t>Sep</t>
  </si>
  <si>
    <t>Oct</t>
  </si>
  <si>
    <t>Nov</t>
  </si>
  <si>
    <t>Dec</t>
  </si>
  <si>
    <t>Actual Revenue</t>
  </si>
  <si>
    <t>Budget Revenue</t>
  </si>
  <si>
    <t>Revenue Variance</t>
  </si>
  <si>
    <t>Actual Operating Profit</t>
  </si>
  <si>
    <t>Budget Operating Profit</t>
  </si>
  <si>
    <t>Operating Profit Variance</t>
  </si>
  <si>
    <t>Branch Performance Analysis</t>
  </si>
  <si>
    <t>Annual Budget vs Summary | Reporting Year 2025</t>
  </si>
  <si>
    <t>Branch Summary</t>
  </si>
  <si>
    <t>BranchID</t>
  </si>
  <si>
    <t>BranchName</t>
  </si>
  <si>
    <t>City</t>
  </si>
  <si>
    <t>BudgetProfitVariance</t>
  </si>
  <si>
    <t>BranchVarianceLogicCheck</t>
  </si>
  <si>
    <t>BR01</t>
  </si>
  <si>
    <t>Kuching Branch</t>
  </si>
  <si>
    <t>Kuching</t>
  </si>
  <si>
    <t>BR02</t>
  </si>
  <si>
    <t>Sibu Branch</t>
  </si>
  <si>
    <t>Sibu</t>
  </si>
  <si>
    <t>BR04</t>
  </si>
  <si>
    <t>Miri Branch</t>
  </si>
  <si>
    <t>Miri</t>
  </si>
  <si>
    <t>BR03</t>
  </si>
  <si>
    <t>Bintulu Branch</t>
  </si>
  <si>
    <t>Bintulu</t>
  </si>
  <si>
    <t>Department Performance Analysis</t>
  </si>
  <si>
    <t>Annual Budget vs Actual Summary | Reporting Year 2025</t>
  </si>
  <si>
    <t>Department Summary</t>
  </si>
  <si>
    <t>DepartmentID</t>
  </si>
  <si>
    <t>DepartmentName</t>
  </si>
  <si>
    <t>DepartmentCategory</t>
  </si>
  <si>
    <t>DepartmentVarianceLogicCheck</t>
  </si>
  <si>
    <t>D01</t>
  </si>
  <si>
    <t>Sales</t>
  </si>
  <si>
    <t>Revenue Generating</t>
  </si>
  <si>
    <t>D02</t>
  </si>
  <si>
    <t>Operations</t>
  </si>
  <si>
    <t>Operational Support</t>
  </si>
  <si>
    <t>D03</t>
  </si>
  <si>
    <t>Administration</t>
  </si>
  <si>
    <t>Corporate Support</t>
  </si>
  <si>
    <t>D04</t>
  </si>
  <si>
    <t>Finance and Human Resources</t>
  </si>
  <si>
    <t>Account Variance Analysis</t>
  </si>
  <si>
    <t>Annual Account-Level Budget vs Actual Review | Reporting 2025</t>
  </si>
  <si>
    <t>Full Account Summary</t>
  </si>
  <si>
    <t>Top 10 Variances by Magnitude</t>
  </si>
  <si>
    <t>AccountCode</t>
  </si>
  <si>
    <t>AccountName</t>
  </si>
  <si>
    <t>StatementSection</t>
  </si>
  <si>
    <t>StatementSectionSort</t>
  </si>
  <si>
    <t>AccountGroup</t>
  </si>
  <si>
    <t>AccountNature</t>
  </si>
  <si>
    <t>DisplayOrder</t>
  </si>
  <si>
    <t>ActualAmount</t>
  </si>
  <si>
    <t>BudgetAmount</t>
  </si>
  <si>
    <t>FavourableVariance</t>
  </si>
  <si>
    <t>VariancePercentage</t>
  </si>
  <si>
    <t>VarianceMagnitude</t>
  </si>
  <si>
    <t>AccountVarianceStatus</t>
  </si>
  <si>
    <t>5000</t>
  </si>
  <si>
    <t>Product Cost</t>
  </si>
  <si>
    <t>Cost of Sales</t>
  </si>
  <si>
    <t>Product Costs</t>
  </si>
  <si>
    <t>Expense</t>
  </si>
  <si>
    <t>40</t>
  </si>
  <si>
    <t>5100</t>
  </si>
  <si>
    <t>Direct Service Cost</t>
  </si>
  <si>
    <t>Service Costs</t>
  </si>
  <si>
    <t>50</t>
  </si>
  <si>
    <t>6400</t>
  </si>
  <si>
    <t>Marketing and Advertising</t>
  </si>
  <si>
    <t>Operating Expenses</t>
  </si>
  <si>
    <t>Selling Expenses</t>
  </si>
  <si>
    <t>100</t>
  </si>
  <si>
    <t>6500</t>
  </si>
  <si>
    <t>Transport and Delivery</t>
  </si>
  <si>
    <t>Distribution Costs</t>
  </si>
  <si>
    <t>110</t>
  </si>
  <si>
    <t>6600</t>
  </si>
  <si>
    <t>Repairs and Maintenance</t>
  </si>
  <si>
    <t>Maintenance Costs</t>
  </si>
  <si>
    <t>120</t>
  </si>
  <si>
    <t>6700</t>
  </si>
  <si>
    <t>IT and Software</t>
  </si>
  <si>
    <t>Technology Costs</t>
  </si>
  <si>
    <t>130</t>
  </si>
  <si>
    <t>6800</t>
  </si>
  <si>
    <t>Office Supplies</t>
  </si>
  <si>
    <t>Administrative Expenses</t>
  </si>
  <si>
    <t>140</t>
  </si>
  <si>
    <t>6900</t>
  </si>
  <si>
    <t>Professional Fees</t>
  </si>
  <si>
    <t>150</t>
  </si>
  <si>
    <t>7000</t>
  </si>
  <si>
    <t>Insurance</t>
  </si>
  <si>
    <t>160</t>
  </si>
  <si>
    <t>7100</t>
  </si>
  <si>
    <t>Training and Development</t>
  </si>
  <si>
    <t>Employee Costs</t>
  </si>
  <si>
    <t>170</t>
  </si>
  <si>
    <t>7200</t>
  </si>
  <si>
    <t>Travel and Accommodation</t>
  </si>
  <si>
    <t>180</t>
  </si>
  <si>
    <t>7300</t>
  </si>
  <si>
    <t>Bank Charges</t>
  </si>
  <si>
    <t>Finance and Banking Costs</t>
  </si>
  <si>
    <t>190</t>
  </si>
  <si>
    <t>7400</t>
  </si>
  <si>
    <t>Depreciation</t>
  </si>
  <si>
    <t>Non-cash Expenses</t>
  </si>
  <si>
    <t>200</t>
  </si>
  <si>
    <t>7500</t>
  </si>
  <si>
    <t>Miscellaneous Operating Expense</t>
  </si>
  <si>
    <t>Other Operating Expenses</t>
  </si>
  <si>
    <t>210</t>
  </si>
  <si>
    <t>6000</t>
  </si>
  <si>
    <t>Salaries and Wages</t>
  </si>
  <si>
    <t>60</t>
  </si>
  <si>
    <t>6100</t>
  </si>
  <si>
    <t>Staff Benefits</t>
  </si>
  <si>
    <t>70</t>
  </si>
  <si>
    <t>6200</t>
  </si>
  <si>
    <t>Premises Rent</t>
  </si>
  <si>
    <t>Occupancy Costs</t>
  </si>
  <si>
    <t>80</t>
  </si>
  <si>
    <t>6300</t>
  </si>
  <si>
    <t>Utilities</t>
  </si>
  <si>
    <t>90</t>
  </si>
  <si>
    <t>4000</t>
  </si>
  <si>
    <t>Product Sales</t>
  </si>
  <si>
    <t>Revenue</t>
  </si>
  <si>
    <t>Sales Revenue</t>
  </si>
  <si>
    <t>10</t>
  </si>
  <si>
    <t>4100</t>
  </si>
  <si>
    <t>Service Revenue</t>
  </si>
  <si>
    <t>20</t>
  </si>
  <si>
    <t>4200</t>
  </si>
  <si>
    <t>Other Operating Revenue</t>
  </si>
  <si>
    <t>Other Revenue</t>
  </si>
  <si>
    <t>30</t>
  </si>
  <si>
    <t>Data Quality and Management Exceptions</t>
  </si>
  <si>
    <t>Corrected, retained and open review items | Reporting Year 2025</t>
  </si>
  <si>
    <t>Exception Summary</t>
  </si>
  <si>
    <t>Detailed Exception Register</t>
  </si>
  <si>
    <t>ExceptionType</t>
  </si>
  <si>
    <t>ExceptionCount</t>
  </si>
  <si>
    <t>OpenCount</t>
  </si>
  <si>
    <t>ResolvedCount</t>
  </si>
  <si>
    <t>Missing Department Corrected</t>
  </si>
  <si>
    <t>Description Standardised</t>
  </si>
  <si>
    <t>Duplicate Transaction ID</t>
  </si>
  <si>
    <t>Invalid Account Corrected</t>
  </si>
  <si>
    <t>Inactive Vendor</t>
  </si>
  <si>
    <t>Unusual Repairs and Maintenance</t>
  </si>
  <si>
    <t>Repeated Vendor Document</t>
  </si>
  <si>
    <t>Missing Budget Source Line</t>
  </si>
  <si>
    <t>ExceptionSource</t>
  </si>
  <si>
    <t>DepartmentID_Original</t>
  </si>
  <si>
    <t>DepartmentID_Processed</t>
  </si>
  <si>
    <t>AccountCode_Original</t>
  </si>
  <si>
    <t>AccountCode_Processed</t>
  </si>
  <si>
    <t>RecordID</t>
  </si>
  <si>
    <t>DocumentNumber</t>
  </si>
  <si>
    <t>Description_Original</t>
  </si>
  <si>
    <t>Description_Processed</t>
  </si>
  <si>
    <t>Amount</t>
  </si>
  <si>
    <t>ResolutionAction</t>
  </si>
  <si>
    <t>ReportingTreatment</t>
  </si>
  <si>
    <t>ExceptionReviewStatus</t>
  </si>
  <si>
    <t>TXN-202503-00076</t>
  </si>
  <si>
    <t>INV-V025-202503-0076</t>
  </si>
  <si>
    <t>Professional development course</t>
  </si>
  <si>
    <t>Department assigned to D04</t>
  </si>
  <si>
    <t>Include - Corrected</t>
  </si>
  <si>
    <t>Resolved</t>
  </si>
  <si>
    <t>TXN-202504-00091</t>
  </si>
  <si>
    <t>INV-V021-202504-0091</t>
  </si>
  <si>
    <t>PRINTING AND STATIONERY</t>
  </si>
  <si>
    <t>Printing and stationery</t>
  </si>
  <si>
    <t>Description standardised</t>
  </si>
  <si>
    <t>TXN-202505-00141</t>
  </si>
  <si>
    <t>SV-202505-BR02-0141</t>
  </si>
  <si>
    <t>Installation service</t>
  </si>
  <si>
    <t>Duplicate resolved - one copy retained</t>
  </si>
  <si>
    <t>6999</t>
  </si>
  <si>
    <t>TXN-202507-00106</t>
  </si>
  <si>
    <t>PAY-202507-BR01-106</t>
  </si>
  <si>
    <t>Employee benefits and statutory contributions</t>
  </si>
  <si>
    <t>Account corrected from 6999 to 6100</t>
  </si>
  <si>
    <t>TXN-202508-00046</t>
  </si>
  <si>
    <t>INV-V028-202508-0001</t>
  </si>
  <si>
    <t>IT support services</t>
  </si>
  <si>
    <t>Retained - vendor control exception</t>
  </si>
  <si>
    <t>Include - Flagged Exception</t>
  </si>
  <si>
    <t>Open - Review Required</t>
  </si>
  <si>
    <t>TXN-202509-00309</t>
  </si>
  <si>
    <t>INV-V016-202509-0309</t>
  </si>
  <si>
    <t>Premises maintenance</t>
  </si>
  <si>
    <t>Retained - unusual item for management review</t>
  </si>
  <si>
    <t>TXN-202509-00310</t>
  </si>
  <si>
    <t>INV-V016-202509-0310</t>
  </si>
  <si>
    <t>TXN-202510-00041</t>
  </si>
  <si>
    <t>INV-V013-202510-0041</t>
  </si>
  <si>
    <t>Advertising services</t>
  </si>
  <si>
    <t>Retained - AP review required</t>
  </si>
  <si>
    <t>TXN-202510-00056</t>
  </si>
  <si>
    <t>Business travel expense</t>
  </si>
  <si>
    <t>TXN-202511-00121</t>
  </si>
  <si>
    <t>BC-202511-BR01-121</t>
  </si>
  <si>
    <t>Bank service charge</t>
  </si>
  <si>
    <t>BUD-ASSUMED-202508-BR03-D02-6600</t>
  </si>
  <si>
    <t>Missing source budget line</t>
  </si>
  <si>
    <t>Added expected key with zero budget</t>
  </si>
  <si>
    <t>Include - Assumed Zero</t>
  </si>
  <si>
    <t>Open - Budget Owner Review</t>
  </si>
  <si>
    <t>Financial Reporting and Variance Analysis</t>
  </si>
  <si>
    <t>Borneo Business Solutions Sdn. Bhd | Reporting Year 2025</t>
  </si>
  <si>
    <t>Excel and Power Query Management Reporting Workbook</t>
  </si>
  <si>
    <t>Reconciliation Status</t>
  </si>
  <si>
    <t>Monthly Coverage</t>
  </si>
  <si>
    <t>Open Exceptions</t>
  </si>
  <si>
    <t>Missing Budget Lines</t>
  </si>
  <si>
    <t>Workbook Navigations</t>
  </si>
  <si>
    <t>Workbook Refresh Process</t>
  </si>
  <si>
    <t>1. Confirm all raw source files remain in their assigned folders</t>
  </si>
  <si>
    <t>2. Go to Data → Refersh All</t>
  </si>
  <si>
    <t>3. Review 01_Reconciliation for any REVIEW status</t>
  </si>
  <si>
    <t>4. Review 06_Exceptions for open items</t>
  </si>
  <si>
    <t>5. Do not manually edit Power Query output tables</t>
  </si>
  <si>
    <t>Data Basis:</t>
  </si>
  <si>
    <t>1. Actual transactions: 5,828 processed rows</t>
  </si>
  <si>
    <t>2. Budget combinations: 2,160</t>
  </si>
  <si>
    <t>3. Reporting period: January-December 2025</t>
  </si>
  <si>
    <t>4. Currency: MYR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</si>
</sst>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#"/>
    <numFmt numFmtId="165" formatCode="&quot;RM&quot;\ #,##0.00;[Red]\(&quot;RM&quot;\ #,##0.00\)"/>
    <numFmt numFmtId="166" formatCode="0.0%;[Red]\(0.0%\)"/>
  </numFmts>
  <fonts count="8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8"/>
      <color theme="3"/>
      <name val="Calibri Light"/>
      <family val="2"/>
      <scheme val="maj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9" fontId="3" fillId="0" borderId="0" applyFont="0" applyFill="0" applyBorder="0" applyAlignment="0" applyProtection="0"/>
    <xf numFmtId="0" fontId="4" fillId="0" borderId="1" applyNumberFormat="0" applyFill="0" applyAlignment="0" applyProtection="0"/>
    <xf numFmtId="0" fontId="5" fillId="2" borderId="0" applyNumberFormat="0" applyBorder="0" applyAlignment="0" applyProtection="0"/>
    <xf numFmtId="0" fontId="3" fillId="3" borderId="0" applyNumberFormat="0" applyBorder="0" applyAlignment="0" applyProtection="0"/>
  </cellStyleXfs>
  <cellXfs count="22">
    <xf numFmtId="0" fontId="0" fillId="0" borderId="0" xfId="0"/>
    <xf numFmtId="14" fontId="0" fillId="0" borderId="0" xfId="0" applyNumberFormat="1"/>
    <xf numFmtId="0" fontId="2" fillId="0" borderId="0" xfId="1" applyFont="1"/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0" fontId="4" fillId="0" borderId="1" xfId="3"/>
    <xf numFmtId="166" fontId="0" fillId="0" borderId="0" xfId="2" applyNumberFormat="1" applyFont="1"/>
    <xf numFmtId="1" fontId="0" fillId="0" borderId="0" xfId="0" applyNumberFormat="1"/>
    <xf numFmtId="0" fontId="6" fillId="2" borderId="0" xfId="4" applyFont="1" applyAlignment="1">
      <alignment horizontal="center"/>
    </xf>
    <xf numFmtId="165" fontId="3" fillId="3" borderId="0" xfId="5" applyNumberFormat="1" applyAlignment="1">
      <alignment horizontal="center"/>
    </xf>
    <xf numFmtId="0" fontId="0" fillId="0" borderId="0" xfId="0" applyNumberFormat="1"/>
    <xf numFmtId="166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7" fillId="0" borderId="0" xfId="0" applyFont="1"/>
    <xf numFmtId="0" fontId="7" fillId="0" borderId="0" xfId="0" applyFont="1" applyFill="1" applyBorder="1"/>
    <xf numFmtId="0" fontId="7" fillId="0" borderId="0" xfId="0" applyFont="1"/>
    <xf numFmtId="0" fontId="7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Font="1"/>
    <xf numFmtId="0" fontId="2" fillId="0" borderId="0" xfId="1" applyFont="1" applyAlignment="1">
      <alignment horizontal="center"/>
    </xf>
  </cellXfs>
  <cellStyles count="6">
    <cellStyle name="20% - Accent3" xfId="5" builtinId="38"/>
    <cellStyle name="Accent3" xfId="4" builtinId="37"/>
    <cellStyle name="Heading 1" xfId="3" builtinId="16"/>
    <cellStyle name="Normal" xfId="0" builtinId="0"/>
    <cellStyle name="Percent" xfId="2" builtinId="5"/>
    <cellStyle name="Title" xfId="1" builtinId="15"/>
  </cellStyles>
  <dxfs count="16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fgColor auto="1"/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166" formatCode="0.0%;[Red]\(0.0%\)"/>
    </dxf>
    <dxf>
      <numFmt numFmtId="166" formatCode="0.0%;[Red]\(0.0%\)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65" formatCode="&quot;RM&quot;\ #,##0.00;[Red]\(&quot;RM&quot;\ #,##0.00\)"/>
    </dxf>
    <dxf>
      <numFmt numFmtId="165" formatCode="&quot;RM&quot;\ #,##0.00;[Red]\(&quot;RM&quot;\ #,##0.00\)"/>
    </dxf>
    <dxf>
      <numFmt numFmtId="165" formatCode="&quot;RM&quot;\ #,##0.00;[Red]\(&quot;RM&quot;\ #,##0.00\)"/>
    </dxf>
    <dxf>
      <numFmt numFmtId="165" formatCode="&quot;RM&quot;\ #,##0.00;[Red]\(&quot;RM&quot;\ #,##0.00\)"/>
    </dxf>
    <dxf>
      <numFmt numFmtId="165" formatCode="&quot;RM&quot;\ #,##0.00;[Red]\(&quot;RM&quot;\ #,##0.00\)"/>
    </dxf>
    <dxf>
      <numFmt numFmtId="165" formatCode="&quot;RM&quot;\ #,##0.00;[Red]\(&quot;RM&quot;\ #,##0.00\)"/>
    </dxf>
    <dxf>
      <numFmt numFmtId="165" formatCode="&quot;RM&quot;\ #,##0.00;[Red]\(&quot;RM&quot;\ #,##0.00\)"/>
    </dxf>
    <dxf>
      <numFmt numFmtId="165" formatCode="&quot;RM&quot;\ #,##0.00;[Red]\(&quot;RM&quot;\ #,##0.00\)"/>
    </dxf>
    <dxf>
      <numFmt numFmtId="165" formatCode="&quot;RM&quot;\ #,##0.00;[Red]\(&quot;RM&quot;\ #,##0.00\)"/>
    </dxf>
    <dxf>
      <numFmt numFmtId="165" formatCode="&quot;RM&quot;\ #,##0.00;[Red]\(&quot;RM&quot;\ #,##0.00\)"/>
    </dxf>
    <dxf>
      <numFmt numFmtId="3" formatCode="#,##0"/>
    </dxf>
    <dxf>
      <numFmt numFmtId="166" formatCode="0.0%;[Red]\(0.0%\)"/>
    </dxf>
    <dxf>
      <numFmt numFmtId="166" formatCode="0.0%;[Red]\(0.0%\)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65" formatCode="&quot;RM&quot;\ #,##0.00;[Red]\(&quot;RM&quot;\ #,##0.00\)"/>
    </dxf>
    <dxf>
      <numFmt numFmtId="165" formatCode="&quot;RM&quot;\ #,##0.00;[Red]\(&quot;RM&quot;\ #,##0.00\)"/>
    </dxf>
    <dxf>
      <numFmt numFmtId="165" formatCode="&quot;RM&quot;\ #,##0.00;[Red]\(&quot;RM&quot;\ #,##0.00\)"/>
    </dxf>
    <dxf>
      <numFmt numFmtId="165" formatCode="&quot;RM&quot;\ #,##0.00;[Red]\(&quot;RM&quot;\ #,##0.00\)"/>
    </dxf>
    <dxf>
      <numFmt numFmtId="165" formatCode="&quot;RM&quot;\ #,##0.00;[Red]\(&quot;RM&quot;\ #,##0.00\)"/>
    </dxf>
    <dxf>
      <numFmt numFmtId="165" formatCode="&quot;RM&quot;\ #,##0.00;[Red]\(&quot;RM&quot;\ #,##0.00\)"/>
    </dxf>
    <dxf>
      <numFmt numFmtId="165" formatCode="&quot;RM&quot;\ #,##0.00;[Red]\(&quot;RM&quot;\ #,##0.00\)"/>
    </dxf>
    <dxf>
      <numFmt numFmtId="165" formatCode="&quot;RM&quot;\ #,##0.00;[Red]\(&quot;RM&quot;\ #,##0.00\)"/>
    </dxf>
    <dxf>
      <numFmt numFmtId="165" formatCode="&quot;RM&quot;\ #,##0.00;[Red]\(&quot;RM&quot;\ #,##0.00\)"/>
    </dxf>
    <dxf>
      <numFmt numFmtId="165" formatCode="&quot;RM&quot;\ #,##0.00;[Red]\(&quot;RM&quot;\ #,##0.00\)"/>
    </dxf>
    <dxf>
      <numFmt numFmtId="165" formatCode="&quot;RM&quot;\ #,##0.00;[Red]\(&quot;RM&quot;\ #,##0.00\)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66" formatCode="0.0%;[Red]\(0.0%\)"/>
    </dxf>
    <dxf>
      <numFmt numFmtId="165" formatCode="&quot;RM&quot;\ #,##0.00;[Red]\(&quot;RM&quot;\ #,##0.00\)"/>
    </dxf>
    <dxf>
      <numFmt numFmtId="165" formatCode="&quot;RM&quot;\ #,##0.00;[Red]\(&quot;RM&quot;\ #,##0.00\)"/>
    </dxf>
    <dxf>
      <numFmt numFmtId="165" formatCode="&quot;RM&quot;\ #,##0.00;[Red]\(&quot;RM&quot;\ #,##0.00\)"/>
    </dxf>
    <dxf>
      <numFmt numFmtId="165" formatCode="&quot;RM&quot;\ #,##0.00;[Red]\(&quot;RM&quot;\ #,##0.00\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1" formatCode="0"/>
    </dxf>
    <dxf>
      <numFmt numFmtId="0" formatCode="General"/>
    </dxf>
    <dxf>
      <numFmt numFmtId="166" formatCode="0.0%;[Red]\(0.0%\)"/>
    </dxf>
    <dxf>
      <numFmt numFmtId="166" formatCode="0.0%;[Red]\(0.0%\)"/>
    </dxf>
    <dxf>
      <numFmt numFmtId="166" formatCode="0.0%;[Red]\(0.0%\)"/>
    </dxf>
    <dxf>
      <numFmt numFmtId="165" formatCode="&quot;RM&quot;\ #,##0.00;[Red]\(&quot;RM&quot;\ #,##0.00\)"/>
    </dxf>
    <dxf>
      <numFmt numFmtId="165" formatCode="&quot;RM&quot;\ #,##0.00;[Red]\(&quot;RM&quot;\ #,##0.00\)"/>
    </dxf>
    <dxf>
      <numFmt numFmtId="165" formatCode="&quot;RM&quot;\ #,##0.00;[Red]\(&quot;RM&quot;\ #,##0.00\)"/>
    </dxf>
    <dxf>
      <numFmt numFmtId="165" formatCode="&quot;RM&quot;\ #,##0.00;[Red]\(&quot;RM&quot;\ #,##0.00\)"/>
    </dxf>
    <dxf>
      <numFmt numFmtId="165" formatCode="&quot;RM&quot;\ #,##0.00;[Red]\(&quot;RM&quot;\ #,##0.00\)"/>
    </dxf>
    <dxf>
      <numFmt numFmtId="165" formatCode="&quot;RM&quot;\ #,##0.00;[Red]\(&quot;RM&quot;\ #,##0.00\)"/>
    </dxf>
    <dxf>
      <numFmt numFmtId="165" formatCode="&quot;RM&quot;\ #,##0.00;[Red]\(&quot;RM&quot;\ #,##0.00\)"/>
    </dxf>
    <dxf>
      <numFmt numFmtId="165" formatCode="&quot;RM&quot;\ #,##0.00;[Red]\(&quot;RM&quot;\ #,##0.00\)"/>
    </dxf>
    <dxf>
      <numFmt numFmtId="165" formatCode="&quot;RM&quot;\ #,##0.00;[Red]\(&quot;RM&quot;\ #,##0.00\)"/>
    </dxf>
    <dxf>
      <numFmt numFmtId="165" formatCode="&quot;RM&quot;\ #,##0.00;[Red]\(&quot;RM&quot;\ #,##0.00\)"/>
    </dxf>
    <dxf>
      <numFmt numFmtId="165" formatCode="&quot;RM&quot;\ #,##0.00;[Red]\(&quot;RM&quot;\ #,##0.00\)"/>
    </dxf>
    <dxf>
      <numFmt numFmtId="165" formatCode="&quot;RM&quot;\ #,##0.00;[Red]\(&quot;RM&quot;\ #,##0.00\)"/>
    </dxf>
    <dxf>
      <numFmt numFmtId="165" formatCode="&quot;RM&quot;\ #,##0.00;[Red]\(&quot;RM&quot;\ #,##0.00\)"/>
    </dxf>
    <dxf>
      <numFmt numFmtId="165" formatCode="&quot;RM&quot;\ #,##0.00;[Red]\(&quot;RM&quot;\ #,##0.00\)"/>
    </dxf>
    <dxf>
      <numFmt numFmtId="165" formatCode="&quot;RM&quot;\ #,##0.00;[Red]\(&quot;RM&quot;\ #,##0.00\)"/>
    </dxf>
    <dxf>
      <numFmt numFmtId="0" formatCode="General"/>
    </dxf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  <dxf>
      <numFmt numFmtId="3" formatCode="#,##0"/>
    </dxf>
    <dxf>
      <numFmt numFmtId="165" formatCode="&quot;RM&quot;\ #,##0.00;[Red]\(&quot;RM&quot;\ #,##0.00\)"/>
    </dxf>
    <dxf>
      <numFmt numFmtId="3" formatCode="#,##0"/>
    </dxf>
    <dxf>
      <numFmt numFmtId="165" formatCode="&quot;RM&quot;\ #,##0.00;[Red]\(&quot;RM&quot;\ #,##0.00\)"/>
    </dxf>
    <dxf>
      <numFmt numFmtId="165" formatCode="&quot;RM&quot;\ #,##0.00;[Red]\(&quot;RM&quot;\ #,##0.00\)"/>
    </dxf>
    <dxf>
      <numFmt numFmtId="3" formatCode="#,##0"/>
    </dxf>
    <dxf>
      <numFmt numFmtId="165" formatCode="&quot;RM&quot;\ #,##0.00;[Red]\(&quot;RM&quot;\ #,##0.00\)"/>
    </dxf>
    <dxf>
      <numFmt numFmtId="165" formatCode="&quot;RM&quot;\ #,##0.00;[Red]\(&quot;RM&quot;\ #,##0.00\)"/>
    </dxf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#,##0.##"/>
    </dxf>
    <dxf>
      <numFmt numFmtId="164" formatCode="#,##0.##"/>
    </dxf>
    <dxf>
      <numFmt numFmtId="164" formatCode="#,##0.##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C7CE"/>
      <color rgb="FF9C0006"/>
      <color rgb="FFC6EFCE"/>
      <color rgb="FF006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Monthly Operating Profit: Actual vs Budget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Y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'02_Budget_vs_Actual'!$S$8</c:f>
              <c:strCache>
                <c:ptCount val="1"/>
                <c:pt idx="0">
                  <c:v>ActualOperatingProfit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'02_Budget_vs_Actual'!$D$9:$D$20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'02_Budget_vs_Actual'!$S$9:$S$20</c:f>
              <c:numCache>
                <c:formatCode>"RM"\ #,##0.00;[Red]\("RM"\ #,##0.00\)</c:formatCode>
                <c:ptCount val="12"/>
                <c:pt idx="0">
                  <c:v>4610</c:v>
                </c:pt>
                <c:pt idx="1">
                  <c:v>-47690</c:v>
                </c:pt>
                <c:pt idx="2">
                  <c:v>64190</c:v>
                </c:pt>
                <c:pt idx="3">
                  <c:v>141040</c:v>
                </c:pt>
                <c:pt idx="4">
                  <c:v>206920</c:v>
                </c:pt>
                <c:pt idx="5">
                  <c:v>282170</c:v>
                </c:pt>
                <c:pt idx="6">
                  <c:v>169730</c:v>
                </c:pt>
                <c:pt idx="7">
                  <c:v>265110</c:v>
                </c:pt>
                <c:pt idx="8">
                  <c:v>230260</c:v>
                </c:pt>
                <c:pt idx="9">
                  <c:v>366800</c:v>
                </c:pt>
                <c:pt idx="10">
                  <c:v>367470</c:v>
                </c:pt>
                <c:pt idx="11">
                  <c:v>259980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7C-4C17-BCEC-E78ACBF3320E}"/>
            </c:ext>
          </c:extLst>
        </c:ser>
        <c:ser>
          <c:idx val="1"/>
          <c:order val="1"/>
          <c:tx>
            <c:strRef>
              <c:f>'02_Budget_vs_Actual'!$T$8</c:f>
              <c:strCache>
                <c:ptCount val="1"/>
                <c:pt idx="0">
                  <c:v>BudgetOperatingProfit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'02_Budget_vs_Actual'!$D$9:$D$20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'02_Budget_vs_Actual'!$T$9:$T$20</c:f>
              <c:numCache>
                <c:formatCode>"RM"\ #,##0.00;[Red]\("RM"\ #,##0.00\)</c:formatCode>
                <c:ptCount val="12"/>
                <c:pt idx="0">
                  <c:v>110300</c:v>
                </c:pt>
                <c:pt idx="1">
                  <c:v>86600</c:v>
                </c:pt>
                <c:pt idx="2">
                  <c:v>144700</c:v>
                </c:pt>
                <c:pt idx="3">
                  <c:v>171500</c:v>
                </c:pt>
                <c:pt idx="4">
                  <c:v>191100</c:v>
                </c:pt>
                <c:pt idx="5">
                  <c:v>218000</c:v>
                </c:pt>
                <c:pt idx="6">
                  <c:v>197000</c:v>
                </c:pt>
                <c:pt idx="7">
                  <c:v>213800</c:v>
                </c:pt>
                <c:pt idx="8">
                  <c:v>229000</c:v>
                </c:pt>
                <c:pt idx="9">
                  <c:v>238200</c:v>
                </c:pt>
                <c:pt idx="10">
                  <c:v>261300</c:v>
                </c:pt>
                <c:pt idx="11">
                  <c:v>238200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7C-4C17-BCEC-E78ACBF332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406719"/>
        <c:axId val="51091503"/>
      </c:lineChart>
      <c:catAx>
        <c:axId val="160406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91503"/>
        <c:crosses val="autoZero"/>
        <c:auto val="1"/>
        <c:lblAlgn val="ctr"/>
        <c:lblOffset val="100"/>
        <c:noMultiLvlLbl val="0"/>
      </c:catAx>
      <c:valAx>
        <c:axId val="51091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M&quot;\ #,##0.00;[Red]\(&quot;RM&quot;\ 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406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Operating Profit by Branch: Actual vs Budget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'03_Branch_Analysis'!$R$6</c:f>
              <c:strCache>
                <c:ptCount val="1"/>
                <c:pt idx="0">
                  <c:v>ActualOperatingProfit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'03_Branch_Analysis'!$B$7:$B$10</c:f>
              <c:strCache>
                <c:ptCount val="4"/>
                <c:pt idx="0">
                  <c:v>Kuching Branch</c:v>
                </c:pt>
                <c:pt idx="1">
                  <c:v>Sibu Branch</c:v>
                </c:pt>
                <c:pt idx="2">
                  <c:v>Miri Branch</c:v>
                </c:pt>
                <c:pt idx="3">
                  <c:v>Bintulu Branch</c:v>
                </c:pt>
              </c:strCache>
            </c:strRef>
          </c:cat>
          <c:val>
            <c:numRef>
              <c:f>'03_Branch_Analysis'!$R$7:$R$10</c:f>
              <c:numCache>
                <c:formatCode>"RM"\ #,##0.00;[Red]\("RM"\ #,##0.00\)</c:formatCode>
                <c:ptCount val="4"/>
                <c:pt idx="0">
                  <c:v>882950</c:v>
                </c:pt>
                <c:pt idx="1">
                  <c:v>300700</c:v>
                </c:pt>
                <c:pt idx="2">
                  <c:v>750330</c:v>
                </c:pt>
                <c:pt idx="3">
                  <c:v>376610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80-473C-9BCE-7E2FDE00780E}"/>
            </c:ext>
          </c:extLst>
        </c:ser>
        <c:ser>
          <c:idx val="1"/>
          <c:order val="1"/>
          <c:tx>
            <c:strRef>
              <c:f>'03_Branch_Analysis'!$S$6</c:f>
              <c:strCache>
                <c:ptCount val="1"/>
                <c:pt idx="0">
                  <c:v>BudgetOperatingProfit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'03_Branch_Analysis'!$B$7:$B$10</c:f>
              <c:strCache>
                <c:ptCount val="4"/>
                <c:pt idx="0">
                  <c:v>Kuching Branch</c:v>
                </c:pt>
                <c:pt idx="1">
                  <c:v>Sibu Branch</c:v>
                </c:pt>
                <c:pt idx="2">
                  <c:v>Miri Branch</c:v>
                </c:pt>
                <c:pt idx="3">
                  <c:v>Bintulu Branch</c:v>
                </c:pt>
              </c:strCache>
            </c:strRef>
          </c:cat>
          <c:val>
            <c:numRef>
              <c:f>'03_Branch_Analysis'!$S$7:$S$10</c:f>
              <c:numCache>
                <c:formatCode>"RM"\ #,##0.00;[Red]\("RM"\ #,##0.00\)</c:formatCode>
                <c:ptCount val="4"/>
                <c:pt idx="0">
                  <c:v>746300</c:v>
                </c:pt>
                <c:pt idx="1">
                  <c:v>431800</c:v>
                </c:pt>
                <c:pt idx="2">
                  <c:v>579700</c:v>
                </c:pt>
                <c:pt idx="3">
                  <c:v>541900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80-473C-9BCE-7E2FDE0078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18546575"/>
        <c:axId val="909763599"/>
      </c:barChart>
      <c:catAx>
        <c:axId val="918546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763599"/>
        <c:crosses val="autoZero"/>
        <c:auto val="1"/>
        <c:lblAlgn val="ctr"/>
        <c:lblOffset val="100"/>
        <c:noMultiLvlLbl val="0"/>
      </c:catAx>
      <c:valAx>
        <c:axId val="909763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M&quot;\ #,##0.00;[Red]\(&quot;RM&quot;\ 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546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Operating Profit by Department: Actual vs Budget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'04_Department_Analysis'!$R$6</c:f>
              <c:strCache>
                <c:ptCount val="1"/>
                <c:pt idx="0">
                  <c:v>ActualOperatingProfit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'04_Department_Analysis'!$B$7:$B$10</c:f>
              <c:strCache>
                <c:ptCount val="4"/>
                <c:pt idx="0">
                  <c:v>Sales</c:v>
                </c:pt>
                <c:pt idx="1">
                  <c:v>Operations</c:v>
                </c:pt>
                <c:pt idx="2">
                  <c:v>Administration</c:v>
                </c:pt>
                <c:pt idx="3">
                  <c:v>Finance and Human Resources</c:v>
                </c:pt>
              </c:strCache>
            </c:strRef>
          </c:cat>
          <c:val>
            <c:numRef>
              <c:f>'04_Department_Analysis'!$R$7:$R$10</c:f>
              <c:numCache>
                <c:formatCode>"RM"\ #,##0.00;[Red]\("RM"\ #,##0.00\)</c:formatCode>
                <c:ptCount val="4"/>
                <c:pt idx="0">
                  <c:v>9233370</c:v>
                </c:pt>
                <c:pt idx="1">
                  <c:v>-3797060</c:v>
                </c:pt>
                <c:pt idx="2">
                  <c:v>-2113900</c:v>
                </c:pt>
                <c:pt idx="3">
                  <c:v>-1011820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9C-4C5E-8E05-E70B54F36A7E}"/>
            </c:ext>
          </c:extLst>
        </c:ser>
        <c:ser>
          <c:idx val="1"/>
          <c:order val="1"/>
          <c:tx>
            <c:strRef>
              <c:f>'04_Department_Analysis'!$S$6</c:f>
              <c:strCache>
                <c:ptCount val="1"/>
                <c:pt idx="0">
                  <c:v>BudgetOperatingProfit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'04_Department_Analysis'!$B$7:$B$10</c:f>
              <c:strCache>
                <c:ptCount val="4"/>
                <c:pt idx="0">
                  <c:v>Sales</c:v>
                </c:pt>
                <c:pt idx="1">
                  <c:v>Operations</c:v>
                </c:pt>
                <c:pt idx="2">
                  <c:v>Administration</c:v>
                </c:pt>
                <c:pt idx="3">
                  <c:v>Finance and Human Resources</c:v>
                </c:pt>
              </c:strCache>
            </c:strRef>
          </c:cat>
          <c:val>
            <c:numRef>
              <c:f>'04_Department_Analysis'!$S$7:$S$10</c:f>
              <c:numCache>
                <c:formatCode>"RM"\ #,##0.00;[Red]\("RM"\ #,##0.00\)</c:formatCode>
                <c:ptCount val="4"/>
                <c:pt idx="0">
                  <c:v>9084300</c:v>
                </c:pt>
                <c:pt idx="1">
                  <c:v>-3679700</c:v>
                </c:pt>
                <c:pt idx="2">
                  <c:v>-2098900</c:v>
                </c:pt>
                <c:pt idx="3">
                  <c:v>-1006000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9C-4C5E-8E05-E70B54F36A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36469119"/>
        <c:axId val="909750159"/>
      </c:barChart>
      <c:catAx>
        <c:axId val="936469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750159"/>
        <c:crosses val="autoZero"/>
        <c:auto val="1"/>
        <c:lblAlgn val="ctr"/>
        <c:lblOffset val="100"/>
        <c:noMultiLvlLbl val="0"/>
      </c:catAx>
      <c:valAx>
        <c:axId val="909750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M&quot;\ #,##0.00;[Red]\(&quot;RM&quot;\ 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6469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Account Variances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'05_Account_Analysis'!$F$30</c:f>
              <c:strCache>
                <c:ptCount val="1"/>
                <c:pt idx="0">
                  <c:v>FavourableVariance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C6EFCE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B2F4-4CB2-A22F-B1DC39530FA6}"/>
              </c:ext>
            </c:extLst>
          </c:dPt>
          <c:dPt>
            <c:idx val="1"/>
            <c:invertIfNegative val="0"/>
            <c:bubble3D val="0"/>
            <c:spPr>
              <a:solidFill>
                <a:srgbClr val="C6EFCE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2F4-4CB2-A22F-B1DC39530FA6}"/>
              </c:ext>
            </c:extLst>
          </c:dPt>
          <c:dPt>
            <c:idx val="2"/>
            <c:invertIfNegative val="0"/>
            <c:bubble3D val="0"/>
            <c:spPr>
              <a:solidFill>
                <a:srgbClr val="FFC7CE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B2F4-4CB2-A22F-B1DC39530FA6}"/>
              </c:ext>
            </c:extLst>
          </c:dPt>
          <c:dPt>
            <c:idx val="3"/>
            <c:invertIfNegative val="0"/>
            <c:bubble3D val="0"/>
            <c:spPr>
              <a:solidFill>
                <a:srgbClr val="FFC7CE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2F4-4CB2-A22F-B1DC39530FA6}"/>
              </c:ext>
            </c:extLst>
          </c:dPt>
          <c:dPt>
            <c:idx val="4"/>
            <c:invertIfNegative val="0"/>
            <c:bubble3D val="0"/>
            <c:spPr>
              <a:solidFill>
                <a:srgbClr val="FFC7CE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B2F4-4CB2-A22F-B1DC39530FA6}"/>
              </c:ext>
            </c:extLst>
          </c:dPt>
          <c:dPt>
            <c:idx val="5"/>
            <c:invertIfNegative val="0"/>
            <c:bubble3D val="0"/>
            <c:spPr>
              <a:solidFill>
                <a:srgbClr val="FFC7CE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2F4-4CB2-A22F-B1DC39530FA6}"/>
              </c:ext>
            </c:extLst>
          </c:dPt>
          <c:dPt>
            <c:idx val="6"/>
            <c:invertIfNegative val="0"/>
            <c:bubble3D val="0"/>
            <c:spPr>
              <a:solidFill>
                <a:srgbClr val="FFC7CE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B2F4-4CB2-A22F-B1DC39530FA6}"/>
              </c:ext>
            </c:extLst>
          </c:dPt>
          <c:dPt>
            <c:idx val="7"/>
            <c:invertIfNegative val="0"/>
            <c:bubble3D val="0"/>
            <c:spPr>
              <a:solidFill>
                <a:srgbClr val="FFC7CE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2F4-4CB2-A22F-B1DC39530FA6}"/>
              </c:ext>
            </c:extLst>
          </c:dPt>
          <c:dPt>
            <c:idx val="8"/>
            <c:invertIfNegative val="0"/>
            <c:bubble3D val="0"/>
            <c:spPr>
              <a:solidFill>
                <a:srgbClr val="FFC7CE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B2F4-4CB2-A22F-B1DC39530FA6}"/>
              </c:ext>
            </c:extLst>
          </c:dPt>
          <c:dPt>
            <c:idx val="9"/>
            <c:invertIfNegative val="0"/>
            <c:bubble3D val="0"/>
            <c:spPr>
              <a:solidFill>
                <a:srgbClr val="FFC7CE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2F4-4CB2-A22F-B1DC39530FA6}"/>
              </c:ext>
            </c:extLst>
          </c:dPt>
          <c:cat>
            <c:strRef>
              <c:f>'05_Account_Analysis'!$B$31:$B$40</c:f>
              <c:strCache>
                <c:ptCount val="10"/>
                <c:pt idx="0">
                  <c:v>Product Sales</c:v>
                </c:pt>
                <c:pt idx="1">
                  <c:v>Service Revenue</c:v>
                </c:pt>
                <c:pt idx="2">
                  <c:v>Product Cost</c:v>
                </c:pt>
                <c:pt idx="3">
                  <c:v>Repairs and Maintenance</c:v>
                </c:pt>
                <c:pt idx="4">
                  <c:v>Direct Service Cost</c:v>
                </c:pt>
                <c:pt idx="5">
                  <c:v>Marketing and Advertising</c:v>
                </c:pt>
                <c:pt idx="6">
                  <c:v>Transport and Delivery</c:v>
                </c:pt>
                <c:pt idx="7">
                  <c:v>Travel and Accommodation</c:v>
                </c:pt>
                <c:pt idx="8">
                  <c:v>Professional Fees</c:v>
                </c:pt>
                <c:pt idx="9">
                  <c:v>IT and Software</c:v>
                </c:pt>
              </c:strCache>
            </c:strRef>
          </c:cat>
          <c:val>
            <c:numRef>
              <c:f>'05_Account_Analysis'!$F$31:$F$40</c:f>
              <c:numCache>
                <c:formatCode>#,##0</c:formatCode>
                <c:ptCount val="10"/>
                <c:pt idx="0">
                  <c:v>152820</c:v>
                </c:pt>
                <c:pt idx="1">
                  <c:v>136610</c:v>
                </c:pt>
                <c:pt idx="2">
                  <c:v>-127120</c:v>
                </c:pt>
                <c:pt idx="3">
                  <c:v>-68570</c:v>
                </c:pt>
                <c:pt idx="4">
                  <c:v>-41720</c:v>
                </c:pt>
                <c:pt idx="5">
                  <c:v>-9360</c:v>
                </c:pt>
                <c:pt idx="6">
                  <c:v>-7170</c:v>
                </c:pt>
                <c:pt idx="7">
                  <c:v>-5750</c:v>
                </c:pt>
                <c:pt idx="8">
                  <c:v>-5050</c:v>
                </c:pt>
                <c:pt idx="9">
                  <c:v>-4210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F4-4CB2-A22F-B1DC39530F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244952912"/>
        <c:axId val="269297039"/>
      </c:barChart>
      <c:catAx>
        <c:axId val="1244952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297039"/>
        <c:crosses val="autoZero"/>
        <c:auto val="1"/>
        <c:lblAlgn val="ctr"/>
        <c:lblOffset val="100"/>
        <c:noMultiLvlLbl val="0"/>
      </c:catAx>
      <c:valAx>
        <c:axId val="269297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495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Exception by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'06_Exceptions'!$B$6</c:f>
              <c:strCache>
                <c:ptCount val="1"/>
                <c:pt idx="0">
                  <c:v>ExceptionCount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'06_Exceptions'!$A$7:$A$14</c:f>
              <c:strCache>
                <c:ptCount val="8"/>
                <c:pt idx="0">
                  <c:v>Missing Department Corrected</c:v>
                </c:pt>
                <c:pt idx="1">
                  <c:v>Description Standardised</c:v>
                </c:pt>
                <c:pt idx="2">
                  <c:v>Duplicate Transaction ID</c:v>
                </c:pt>
                <c:pt idx="3">
                  <c:v>Invalid Account Corrected</c:v>
                </c:pt>
                <c:pt idx="4">
                  <c:v>Inactive Vendor</c:v>
                </c:pt>
                <c:pt idx="5">
                  <c:v>Unusual Repairs and Maintenance</c:v>
                </c:pt>
                <c:pt idx="6">
                  <c:v>Repeated Vendor Document</c:v>
                </c:pt>
                <c:pt idx="7">
                  <c:v>Missing Budget Source Line</c:v>
                </c:pt>
              </c:strCache>
            </c:strRef>
          </c:cat>
          <c:val>
            <c:numRef>
              <c:f>'06_Exceptions'!$B$7:$B$14</c:f>
              <c:numCache>
                <c:formatCode>General</c:formatCode>
                <c:ptCount val="8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FB-44A2-BF5B-57444D594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37356672"/>
        <c:axId val="1110507504"/>
      </c:barChart>
      <c:catAx>
        <c:axId val="1137356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507504"/>
        <c:crosses val="autoZero"/>
        <c:auto val="1"/>
        <c:lblAlgn val="ctr"/>
        <c:lblOffset val="100"/>
        <c:noMultiLvlLbl val="0"/>
      </c:catAx>
      <c:valAx>
        <c:axId val="111050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356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57148</xdr:colOff>
      <xdr:row>21</xdr:row>
      <xdr:rowOff>47625</xdr:rowOff>
    </xdr:from>
    <xdr:to>
      <xdr:col>9</xdr:col>
      <xdr:colOff>1304924</xdr:colOff>
      <xdr:row>39</xdr:row>
      <xdr:rowOff>179916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0706F5-3F76-F4AD-45C6-B369A57A61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12</xdr:row>
      <xdr:rowOff>0</xdr:rowOff>
    </xdr:from>
    <xdr:to>
      <xdr:col>8</xdr:col>
      <xdr:colOff>1790700</xdr:colOff>
      <xdr:row>28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340928-E190-4766-3CC2-0A95679F21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</xdr:colOff>
      <xdr:row>11</xdr:row>
      <xdr:rowOff>190499</xdr:rowOff>
    </xdr:from>
    <xdr:to>
      <xdr:col>9</xdr:col>
      <xdr:colOff>1590674</xdr:colOff>
      <xdr:row>28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4D551C-DE58-E382-3FA1-4E4168787C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201757</xdr:colOff>
      <xdr:row>28</xdr:row>
      <xdr:rowOff>228599</xdr:rowOff>
    </xdr:from>
    <xdr:to>
      <xdr:col>15</xdr:col>
      <xdr:colOff>0</xdr:colOff>
      <xdr:row>49</xdr:row>
      <xdr:rowOff>161924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F6FB928-6A0E-9A46-EDE9-443B665EFA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57149</xdr:colOff>
      <xdr:row>5</xdr:row>
      <xdr:rowOff>0</xdr:rowOff>
    </xdr:from>
    <xdr:to>
      <xdr:col>13</xdr:col>
      <xdr:colOff>3000374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7926FD-88F9-0451-4D0B-D355C04432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0542148C-9F1E-484E-8571-23CCE829D2D0}" autoFormatId="16" applyNumberFormats="0" applyBorderFormats="0" applyFontFormats="0" applyPatternFormats="0" applyAlignmentFormats="0" applyWidthHeightFormats="0">
  <queryTableRefresh nextId="11">
    <queryTableFields count="10">
      <queryTableField id="1" name="ControlID" tableColumnId="1"/>
      <queryTableField id="2" name="ControlArea" tableColumnId="2"/>
      <queryTableField id="3" name="ControlDescription" tableColumnId="3"/>
      <queryTableField id="4" name="SourceValue" tableColumnId="4"/>
      <queryTableField id="5" name="ComparisonValue" tableColumnId="5"/>
      <queryTableField id="6" name="Difference" tableColumnId="6"/>
      <queryTableField id="7" name="Unit" tableColumnId="7"/>
      <queryTableField id="8" name="ExpectedResult" tableColumnId="8"/>
      <queryTableField id="9" name="ControlStatus" tableColumnId="9"/>
      <queryTableField id="10" name="Notes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1" xr16:uid="{29F2585F-07A2-4419-92B4-6A902C789E1D}" autoFormatId="16" applyNumberFormats="0" applyBorderFormats="0" applyFontFormats="0" applyPatternFormats="0" applyAlignmentFormats="0" applyWidthHeightFormats="0">
  <queryTableRefresh nextId="14">
    <queryTableFields count="13">
      <queryTableField id="1" name="MonthKey" tableColumnId="1"/>
      <queryTableField id="2" name="MonthStartDate" tableColumnId="2"/>
      <queryTableField id="3" name="MonthName" tableColumnId="3"/>
      <queryTableField id="4" name="MonthNumber" tableColumnId="4"/>
      <queryTableField id="5" name="ActualUnsignedTotal" tableColumnId="5"/>
      <queryTableField id="6" name="BudgetUnsignedTotal" tableColumnId="6"/>
      <queryTableField id="7" name="ActualTransactionCount" tableColumnId="7"/>
      <queryTableField id="8" name="ActualOperatingResult" tableColumnId="8"/>
      <queryTableField id="9" name="BudgetOperatingResult" tableColumnId="9"/>
      <queryTableField id="10" name="ReportingRowCount" tableColumnId="10"/>
      <queryTableField id="11" name="OperatingResultVariance" tableColumnId="11"/>
      <queryTableField id="12" name="ExpectedReportingRows" tableColumnId="12"/>
      <queryTableField id="13" name="MonthlyCoverageStatus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4" xr16:uid="{14AF6F7D-0EDC-4BB0-8B47-1FF63549E60A}" autoFormatId="16" applyNumberFormats="0" applyBorderFormats="0" applyFontFormats="0" applyPatternFormats="0" applyAlignmentFormats="0" applyWidthHeightFormats="0">
  <queryTableRefresh nextId="29">
    <queryTableFields count="28">
      <queryTableField id="1" name="MonthKey" tableColumnId="1"/>
      <queryTableField id="2" name="MonthStartDate" tableColumnId="2"/>
      <queryTableField id="3" name="MonthName" tableColumnId="3"/>
      <queryTableField id="4" name="MonthShortName" tableColumnId="4"/>
      <queryTableField id="5" name="MonthNumber" tableColumnId="5"/>
      <queryTableField id="6" name="YearMonthSort" tableColumnId="6"/>
      <queryTableField id="7" name="ActualRevenue" tableColumnId="7"/>
      <queryTableField id="8" name="BudgetRevenue" tableColumnId="8"/>
      <queryTableField id="9" name="RevenueVariance" tableColumnId="9"/>
      <queryTableField id="10" name="ActualCostOfSales" tableColumnId="10"/>
      <queryTableField id="11" name="BudgetCostOfSales" tableColumnId="11"/>
      <queryTableField id="12" name="CostOfSalesVariance" tableColumnId="12"/>
      <queryTableField id="13" name="ActualGrossProfit" tableColumnId="13"/>
      <queryTableField id="14" name="BudgetGrossProfit" tableColumnId="14"/>
      <queryTableField id="15" name="GrossProfitVariance" tableColumnId="15"/>
      <queryTableField id="16" name="ActualOperatingExpenses" tableColumnId="16"/>
      <queryTableField id="17" name="BudgetOperatingExpenses" tableColumnId="17"/>
      <queryTableField id="18" name="OperatingExpensesVariance" tableColumnId="18"/>
      <queryTableField id="19" name="ActualOperatingProfit" tableColumnId="19"/>
      <queryTableField id="20" name="BudgetOperatingProfit" tableColumnId="20"/>
      <queryTableField id="21" name="OperatingProfitVariance" tableColumnId="21"/>
      <queryTableField id="22" name="ActualOperatingMargin" tableColumnId="22"/>
      <queryTableField id="23" name="BudgetOperatingMargin" tableColumnId="23"/>
      <queryTableField id="24" name="OperatingMarginVariance" tableColumnId="24"/>
      <queryTableField id="25" name="OperatingProfitStatus" tableColumnId="25"/>
      <queryTableField id="26" name="ActualTransactionCount" tableColumnId="26"/>
      <queryTableField id="27" name="MissingBudgetLineCount" tableColumnId="27"/>
      <queryTableField id="28" name="MonthlyVarianceLogicCheck" tableColumnId="2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8" xr16:uid="{858CE1AA-BE3D-4B4B-BA0A-10697260DA1E}" autoFormatId="16" applyNumberFormats="0" applyBorderFormats="0" applyFontFormats="0" applyPatternFormats="0" applyAlignmentFormats="0" applyWidthHeightFormats="0">
  <queryTableRefresh nextId="25">
    <queryTableFields count="24">
      <queryTableField id="1" name="BranchID" tableColumnId="1"/>
      <queryTableField id="2" name="BranchName" tableColumnId="2"/>
      <queryTableField id="3" name="City" tableColumnId="3"/>
      <queryTableField id="4" name="ActualRevenue" tableColumnId="4"/>
      <queryTableField id="5" name="BudgetRevenue" tableColumnId="5"/>
      <queryTableField id="6" name="ActualCostOfSales" tableColumnId="6"/>
      <queryTableField id="7" name="BudgetCostOfSales" tableColumnId="7"/>
      <queryTableField id="8" name="ActualOperatingExpenses" tableColumnId="8"/>
      <queryTableField id="9" name="BudgetOperatingExpenses" tableColumnId="9"/>
      <queryTableField id="10" name="ActualTransactionCount" tableColumnId="10"/>
      <queryTableField id="11" name="MissingBudgetLineCount" tableColumnId="11"/>
      <queryTableField id="12" name="RevenueVariance" tableColumnId="12"/>
      <queryTableField id="13" name="CostOfSalesVariance" tableColumnId="13"/>
      <queryTableField id="14" name="ActualGrossProfit" tableColumnId="14"/>
      <queryTableField id="15" name="BudgetGrossProfit" tableColumnId="15"/>
      <queryTableField id="16" name="BudgetProfitVariance" tableColumnId="16"/>
      <queryTableField id="17" name="OperatingExpensesVariance" tableColumnId="17"/>
      <queryTableField id="18" name="ActualOperatingProfit" tableColumnId="18"/>
      <queryTableField id="19" name="BudgetOperatingProfit" tableColumnId="19"/>
      <queryTableField id="20" name="OperatingProfitVariance" tableColumnId="20"/>
      <queryTableField id="21" name="ActualOperatingMargin" tableColumnId="21"/>
      <queryTableField id="22" name="BudgetOperatingMargin" tableColumnId="22"/>
      <queryTableField id="23" name="OperatingProfitStatus" tableColumnId="23"/>
      <queryTableField id="24" name="BranchVarianceLogicCheck" tableColumnId="2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1" xr16:uid="{1A14CBA8-3FE1-4942-9EBF-B5A9ECC5CDB2}" autoFormatId="16" applyNumberFormats="0" applyBorderFormats="0" applyFontFormats="0" applyPatternFormats="0" applyAlignmentFormats="0" applyWidthHeightFormats="0">
  <queryTableRefresh nextId="25">
    <queryTableFields count="24">
      <queryTableField id="1" name="DepartmentID" tableColumnId="1"/>
      <queryTableField id="2" name="DepartmentName" tableColumnId="2"/>
      <queryTableField id="3" name="DepartmentCategory" tableColumnId="3"/>
      <queryTableField id="4" name="ActualRevenue" tableColumnId="4"/>
      <queryTableField id="5" name="BudgetRevenue" tableColumnId="5"/>
      <queryTableField id="6" name="ActualCostOfSales" tableColumnId="6"/>
      <queryTableField id="7" name="BudgetCostOfSales" tableColumnId="7"/>
      <queryTableField id="8" name="ActualOperatingExpenses" tableColumnId="8"/>
      <queryTableField id="9" name="BudgetOperatingExpenses" tableColumnId="9"/>
      <queryTableField id="10" name="ActualTransactionCount" tableColumnId="10"/>
      <queryTableField id="11" name="MissingBudgetLineCount" tableColumnId="11"/>
      <queryTableField id="12" name="RevenueVariance" tableColumnId="12"/>
      <queryTableField id="13" name="CostOfSalesVariance" tableColumnId="13"/>
      <queryTableField id="14" name="ActualGrossProfit" tableColumnId="14"/>
      <queryTableField id="15" name="BudgetGrossProfit" tableColumnId="15"/>
      <queryTableField id="16" name="GrossProfitVariance" tableColumnId="16"/>
      <queryTableField id="17" name="OperatingExpensesVariance" tableColumnId="17"/>
      <queryTableField id="18" name="ActualOperatingProfit" tableColumnId="18"/>
      <queryTableField id="19" name="BudgetOperatingProfit" tableColumnId="19"/>
      <queryTableField id="20" name="OperatingProfitVariance" tableColumnId="20"/>
      <queryTableField id="21" name="ActualOperatingMargin" tableColumnId="21"/>
      <queryTableField id="22" name="BudgetOperatingMargin" tableColumnId="22"/>
      <queryTableField id="23" name="OperatingProfitStatus" tableColumnId="23"/>
      <queryTableField id="24" name="DepartmentVarianceLogicCheck" tableColumnId="2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6" xr16:uid="{2C6F210C-6F7D-491D-8282-DEC99B47D483}" autoFormatId="16" applyNumberFormats="0" applyBorderFormats="0" applyFontFormats="0" applyPatternFormats="0" applyAlignmentFormats="0" applyWidthHeightFormats="0">
  <queryTableRefresh nextId="16">
    <queryTableFields count="15">
      <queryTableField id="1" name="AccountCode" tableColumnId="1"/>
      <queryTableField id="2" name="AccountName" tableColumnId="2"/>
      <queryTableField id="3" name="StatementSection" tableColumnId="3"/>
      <queryTableField id="4" name="StatementSectionSort" tableColumnId="4"/>
      <queryTableField id="5" name="AccountGroup" tableColumnId="5"/>
      <queryTableField id="6" name="AccountNature" tableColumnId="6"/>
      <queryTableField id="7" name="DisplayOrder" tableColumnId="7"/>
      <queryTableField id="8" name="ActualAmount" tableColumnId="8"/>
      <queryTableField id="9" name="BudgetAmount" tableColumnId="9"/>
      <queryTableField id="10" name="ActualTransactionCount" tableColumnId="10"/>
      <queryTableField id="11" name="MissingBudgetLineCount" tableColumnId="11"/>
      <queryTableField id="12" name="FavourableVariance" tableColumnId="12"/>
      <queryTableField id="13" name="VariancePercentage" tableColumnId="13"/>
      <queryTableField id="14" name="VarianceMagnitude" tableColumnId="14"/>
      <queryTableField id="15" name="AccountVarianceStatus" tableColumnId="1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5" xr16:uid="{49DCAC8D-F695-4A12-B338-5F5E428CFB12}" autoFormatId="16" applyNumberFormats="0" applyBorderFormats="0" applyFontFormats="0" applyPatternFormats="0" applyAlignmentFormats="0" applyWidthHeightFormats="0">
  <queryTableRefresh nextId="9">
    <queryTableFields count="8">
      <queryTableField id="1" name="AccountCode" tableColumnId="1"/>
      <queryTableField id="2" name="AccountName" tableColumnId="2"/>
      <queryTableField id="3" name="StatementSection" tableColumnId="3"/>
      <queryTableField id="4" name="ActualAmount" tableColumnId="4"/>
      <queryTableField id="5" name="BudgetAmount" tableColumnId="5"/>
      <queryTableField id="6" name="FavourableVariance" tableColumnId="6"/>
      <queryTableField id="7" name="VarianceMagnitude" tableColumnId="7"/>
      <queryTableField id="8" name="AccountVarianceStatus" tableColumnId="8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3" xr16:uid="{973B3C9E-64BB-430F-90C4-A3D7E8E84C60}" autoFormatId="16" applyNumberFormats="0" applyBorderFormats="0" applyFontFormats="0" applyPatternFormats="0" applyAlignmentFormats="0" applyWidthHeightFormats="0">
  <queryTableRefresh nextId="5">
    <queryTableFields count="4">
      <queryTableField id="1" name="ExceptionType" tableColumnId="1"/>
      <queryTableField id="2" name="ExceptionCount" tableColumnId="2"/>
      <queryTableField id="3" name="OpenCount" tableColumnId="3"/>
      <queryTableField id="4" name="ResolvedCount" tableColumnId="4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2" xr16:uid="{CB683009-C8E9-4E68-9252-F91468B4CC94}" autoFormatId="16" applyNumberFormats="0" applyBorderFormats="0" applyFontFormats="0" applyPatternFormats="0" applyAlignmentFormats="0" applyWidthHeightFormats="0">
  <queryTableRefresh nextId="17">
    <queryTableFields count="16">
      <queryTableField id="1" name="ExceptionSource" tableColumnId="1"/>
      <queryTableField id="2" name="ExceptionType" tableColumnId="2"/>
      <queryTableField id="3" name="MonthKey" tableColumnId="3"/>
      <queryTableField id="4" name="BranchID" tableColumnId="4"/>
      <queryTableField id="5" name="DepartmentID_Original" tableColumnId="5"/>
      <queryTableField id="6" name="DepartmentID_Processed" tableColumnId="6"/>
      <queryTableField id="7" name="AccountCode_Original" tableColumnId="7"/>
      <queryTableField id="8" name="AccountCode_Processed" tableColumnId="8"/>
      <queryTableField id="9" name="RecordID" tableColumnId="9"/>
      <queryTableField id="10" name="DocumentNumber" tableColumnId="10"/>
      <queryTableField id="11" name="Description_Original" tableColumnId="11"/>
      <queryTableField id="12" name="Description_Processed" tableColumnId="12"/>
      <queryTableField id="13" name="Amount" tableColumnId="13"/>
      <queryTableField id="14" name="ResolutionAction" tableColumnId="14"/>
      <queryTableField id="15" name="ReportingTreatment" tableColumnId="15"/>
      <queryTableField id="16" name="ExceptionReviewStatus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0C32A0-DB70-45E3-8852-FF1E570385F7}" name="tbl_ReconciliationSummary" displayName="tbl_ReconciliationSummary" ref="A4:J23" tableType="queryTable" totalsRowShown="0">
  <autoFilter ref="A4:J23" xr:uid="{B00C32A0-DB70-45E3-8852-FF1E570385F7}"/>
  <tableColumns count="10">
    <tableColumn id="1" xr3:uid="{B885D5E2-E93E-4803-9CBD-E0018F859750}" uniqueName="1" name="ControlID" queryTableFieldId="1" dataDxfId="156"/>
    <tableColumn id="2" xr3:uid="{8CD5352E-C5FA-43A2-8D9E-FDAED19FABAD}" uniqueName="2" name="ControlArea" queryTableFieldId="2" dataDxfId="155"/>
    <tableColumn id="3" xr3:uid="{D0E6648E-E5D0-4569-9AEB-78BC5D99FDFF}" uniqueName="3" name="ControlDescription" queryTableFieldId="3" dataDxfId="154"/>
    <tableColumn id="4" xr3:uid="{0D60CD80-7160-48BA-BF68-192549CC329B}" uniqueName="4" name="SourceValue" queryTableFieldId="4" dataDxfId="153"/>
    <tableColumn id="5" xr3:uid="{5270B955-42DD-4140-AC7E-CF0261998B2E}" uniqueName="5" name="ComparisonValue" queryTableFieldId="5" dataDxfId="152"/>
    <tableColumn id="6" xr3:uid="{EDA7DB69-6C92-4873-999B-564724C26587}" uniqueName="6" name="Difference" queryTableFieldId="6" dataDxfId="151"/>
    <tableColumn id="7" xr3:uid="{91C10612-2181-4EE9-BCE6-AEB73F80400F}" uniqueName="7" name="Unit" queryTableFieldId="7" dataDxfId="150"/>
    <tableColumn id="8" xr3:uid="{3ADD321C-8B81-4405-AC83-FD1B576695F4}" uniqueName="8" name="ExpectedResult" queryTableFieldId="8" dataDxfId="149"/>
    <tableColumn id="9" xr3:uid="{1694DECB-1D3B-46DB-9901-2E6487417B90}" uniqueName="9" name="ControlStatus" queryTableFieldId="9" dataDxfId="148"/>
    <tableColumn id="10" xr3:uid="{07362C4A-F22C-40AE-9652-A8EC86496C51}" uniqueName="10" name="Notes" queryTableFieldId="10" dataDxfId="14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4A3A545-2DF1-493B-9C6D-75C76633BEEC}" name="tbl_MonthlyReconciliation" displayName="tbl_MonthlyReconciliation" ref="A25:M37" tableType="queryTable" totalsRowShown="0">
  <autoFilter ref="A25:M37" xr:uid="{54A3A545-2DF1-493B-9C6D-75C76633BEEC}"/>
  <tableColumns count="13">
    <tableColumn id="1" xr3:uid="{AA374317-033E-4419-BBBE-F67EF1AD4C02}" uniqueName="1" name="MonthKey" queryTableFieldId="1" dataDxfId="146"/>
    <tableColumn id="2" xr3:uid="{6961710C-ECCF-4EC4-A8B3-173B68005811}" uniqueName="2" name="MonthStartDate" queryTableFieldId="2" dataDxfId="145"/>
    <tableColumn id="3" xr3:uid="{3A13ABE7-E615-4C6A-9885-599194B20468}" uniqueName="3" name="MonthName" queryTableFieldId="3" dataDxfId="144"/>
    <tableColumn id="4" xr3:uid="{25CC6E52-E81D-4F68-A955-B380BA817EE1}" uniqueName="4" name="MonthNumber" queryTableFieldId="4"/>
    <tableColumn id="5" xr3:uid="{7148079D-B6E5-4A79-99F0-366B8F05AE82}" uniqueName="5" name="ActualUnsignedTotal" queryTableFieldId="5" dataDxfId="143"/>
    <tableColumn id="6" xr3:uid="{01A3E173-6C5B-474C-B0EC-7865F47F4A2E}" uniqueName="6" name="BudgetUnsignedTotal" queryTableFieldId="6" dataDxfId="142"/>
    <tableColumn id="7" xr3:uid="{FFD6EFF7-3FB1-4AE9-A86F-9E4B9F3DE46A}" uniqueName="7" name="ActualTransactionCount" queryTableFieldId="7" dataDxfId="141"/>
    <tableColumn id="8" xr3:uid="{14C20D86-B9B5-4636-AD52-18420E716809}" uniqueName="8" name="ActualOperatingResult" queryTableFieldId="8" dataDxfId="140"/>
    <tableColumn id="9" xr3:uid="{CA67C856-0CB4-44B8-AADD-D836F2A0B6D4}" uniqueName="9" name="BudgetOperatingResult" queryTableFieldId="9" dataDxfId="139"/>
    <tableColumn id="10" xr3:uid="{90D1D4FF-D810-4E09-A165-D52305870126}" uniqueName="10" name="ReportingRowCount" queryTableFieldId="10" dataDxfId="138"/>
    <tableColumn id="11" xr3:uid="{8D1E7ACE-BA97-411B-BECC-8C749AD8B40C}" uniqueName="11" name="OperatingResultVariance" queryTableFieldId="11" dataDxfId="137"/>
    <tableColumn id="12" xr3:uid="{0EE4330A-C0CB-482A-8EF4-10F469A4EAC6}" uniqueName="12" name="ExpectedReportingRows" queryTableFieldId="12" dataDxfId="136"/>
    <tableColumn id="13" xr3:uid="{3A5A54AA-8C7C-45B1-9D49-FD1DBD90F1B0}" uniqueName="13" name="MonthlyCoverageStatus" queryTableFieldId="13" dataDxfId="13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BA3E3AA-24EE-4D92-A3E9-1B825939AEC9}" name="tbl_MonthlyPLSummary" displayName="tbl_MonthlyPLSummary" ref="A8:AB20" tableType="queryTable" totalsRowShown="0">
  <autoFilter ref="A8:AB20" xr:uid="{7BA3E3AA-24EE-4D92-A3E9-1B825939AEC9}"/>
  <tableColumns count="28">
    <tableColumn id="1" xr3:uid="{891F322B-0608-4C4E-BADE-66E6D4093F79}" uniqueName="1" name="MonthKey" queryTableFieldId="1" dataDxfId="134"/>
    <tableColumn id="2" xr3:uid="{C8689D02-41F3-4D8B-920E-F82AC526E8AB}" uniqueName="2" name="MonthStartDate" queryTableFieldId="2" dataDxfId="133"/>
    <tableColumn id="3" xr3:uid="{8A757870-5535-45B4-B4E9-8E5E7AF3AC21}" uniqueName="3" name="MonthName" queryTableFieldId="3" dataDxfId="132"/>
    <tableColumn id="4" xr3:uid="{E5072490-DFDC-4FD2-847B-1AA8D2CB170D}" uniqueName="4" name="MonthShortName" queryTableFieldId="4" dataDxfId="131"/>
    <tableColumn id="5" xr3:uid="{7A26F279-823E-4DD1-AE42-F66650121149}" uniqueName="5" name="MonthNumber" queryTableFieldId="5"/>
    <tableColumn id="6" xr3:uid="{AE4D6B0E-0AE1-4759-BECE-9FF9ED030E81}" uniqueName="6" name="YearMonthSort" queryTableFieldId="6"/>
    <tableColumn id="7" xr3:uid="{44B182DB-0C21-41FD-9DF5-D53A0E4F9554}" uniqueName="7" name="ActualRevenue" queryTableFieldId="7" dataDxfId="130"/>
    <tableColumn id="8" xr3:uid="{BA762931-CA04-4C61-BF0C-094961266D09}" uniqueName="8" name="BudgetRevenue" queryTableFieldId="8" dataDxfId="129"/>
    <tableColumn id="9" xr3:uid="{6FD0A458-D2E6-40D0-A582-FC94E1FA9E96}" uniqueName="9" name="RevenueVariance" queryTableFieldId="9" dataDxfId="128"/>
    <tableColumn id="10" xr3:uid="{AE753BE7-DB37-4BFB-8A5A-758508476DED}" uniqueName="10" name="ActualCostOfSales" queryTableFieldId="10" dataDxfId="127"/>
    <tableColumn id="11" xr3:uid="{A6685729-7397-489A-9B33-1E4E003BB431}" uniqueName="11" name="BudgetCostOfSales" queryTableFieldId="11" dataDxfId="126"/>
    <tableColumn id="12" xr3:uid="{284AE9BC-BB94-4F8B-9BE2-DBB841DF1664}" uniqueName="12" name="CostOfSalesVariance" queryTableFieldId="12" dataDxfId="125"/>
    <tableColumn id="13" xr3:uid="{799CEFE8-29A7-4A73-A9F6-11BBED815D09}" uniqueName="13" name="ActualGrossProfit" queryTableFieldId="13" dataDxfId="124"/>
    <tableColumn id="14" xr3:uid="{468283BA-8D23-4397-8DCF-65A9DA91E70D}" uniqueName="14" name="BudgetGrossProfit" queryTableFieldId="14" dataDxfId="123"/>
    <tableColumn id="15" xr3:uid="{53F99491-6E93-44BD-89FC-75248AF9004F}" uniqueName="15" name="GrossProfitVariance" queryTableFieldId="15" dataDxfId="122"/>
    <tableColumn id="16" xr3:uid="{2D3D6C10-6662-4400-A354-16BC040A831D}" uniqueName="16" name="ActualOperatingExpenses" queryTableFieldId="16" dataDxfId="121"/>
    <tableColumn id="17" xr3:uid="{1E1268D1-E8E6-4DA7-BA08-CDF3EFE34E66}" uniqueName="17" name="BudgetOperatingExpenses" queryTableFieldId="17" dataDxfId="120"/>
    <tableColumn id="18" xr3:uid="{E062FACE-56A3-46DF-BCC0-1A4BC8CBB5FF}" uniqueName="18" name="OperatingExpensesVariance" queryTableFieldId="18" dataDxfId="119"/>
    <tableColumn id="19" xr3:uid="{5402E4A5-C21B-4CE7-9EDF-A85CD4BA88F2}" uniqueName="19" name="ActualOperatingProfit" queryTableFieldId="19" dataDxfId="118"/>
    <tableColumn id="20" xr3:uid="{F62F9694-A965-477C-AE05-33D8A3AA37D2}" uniqueName="20" name="BudgetOperatingProfit" queryTableFieldId="20" dataDxfId="117"/>
    <tableColumn id="21" xr3:uid="{8F4EFCD9-3BEE-4853-97DE-654F3D331D36}" uniqueName="21" name="OperatingProfitVariance" queryTableFieldId="21" dataDxfId="116"/>
    <tableColumn id="22" xr3:uid="{5578A64F-FB9F-40BD-A28C-66585C7D7B16}" uniqueName="22" name="ActualOperatingMargin" queryTableFieldId="22" dataDxfId="115" dataCellStyle="Percent"/>
    <tableColumn id="23" xr3:uid="{035838FD-9867-4ACA-A1EA-97A994511353}" uniqueName="23" name="BudgetOperatingMargin" queryTableFieldId="23" dataDxfId="114" dataCellStyle="Percent"/>
    <tableColumn id="24" xr3:uid="{E567E2F2-539F-4750-B722-90CF00FAFEF7}" uniqueName="24" name="OperatingMarginVariance" queryTableFieldId="24" dataDxfId="113" dataCellStyle="Percent"/>
    <tableColumn id="25" xr3:uid="{45A566F5-ECA3-4409-BC02-9F5816817205}" uniqueName="25" name="OperatingProfitStatus" queryTableFieldId="25" dataDxfId="112"/>
    <tableColumn id="26" xr3:uid="{C1E35536-96BD-4ACA-BDD4-DD1F3637BBBD}" uniqueName="26" name="ActualTransactionCount" queryTableFieldId="26" dataDxfId="111"/>
    <tableColumn id="27" xr3:uid="{C16481A0-028D-4271-8182-A9EE5844CB07}" uniqueName="27" name="MissingBudgetLineCount" queryTableFieldId="27" dataDxfId="110"/>
    <tableColumn id="28" xr3:uid="{25ACC6C0-8818-454D-AE46-9B21E7240747}" uniqueName="28" name="MonthlyVarianceLogicCheck" queryTableFieldId="2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BA64DE5-8F58-408A-8993-689778CD4D54}" name="tbl_BranchSummary" displayName="tbl_BranchSummary" ref="A6:X10" tableType="queryTable" totalsRowShown="0">
  <autoFilter ref="A6:X10" xr:uid="{9BA64DE5-8F58-408A-8993-689778CD4D54}"/>
  <tableColumns count="24">
    <tableColumn id="1" xr3:uid="{46965258-D49A-4550-89B1-410ECB12ADB0}" uniqueName="1" name="BranchID" queryTableFieldId="1"/>
    <tableColumn id="2" xr3:uid="{D0EAED64-DE01-483C-B53B-A07FD1114DFE}" uniqueName="2" name="BranchName" queryTableFieldId="2" dataDxfId="109"/>
    <tableColumn id="3" xr3:uid="{05F859CA-EA20-40F0-B9E5-1DE4FED6C72F}" uniqueName="3" name="City" queryTableFieldId="3" dataDxfId="108"/>
    <tableColumn id="4" xr3:uid="{F34BFA82-D5FF-421B-BD1D-0C88CA266D71}" uniqueName="4" name="ActualRevenue" queryTableFieldId="4" dataDxfId="73"/>
    <tableColumn id="5" xr3:uid="{C1176CE6-667B-4B34-B01A-934805B96A32}" uniqueName="5" name="BudgetRevenue" queryTableFieldId="5" dataDxfId="72"/>
    <tableColumn id="6" xr3:uid="{DE859A18-CDB3-495B-BB72-6113C28277DE}" uniqueName="6" name="ActualCostOfSales" queryTableFieldId="6" dataDxfId="71"/>
    <tableColumn id="7" xr3:uid="{0C02838C-4743-4841-A7B5-3AE26A864EA2}" uniqueName="7" name="BudgetCostOfSales" queryTableFieldId="7" dataDxfId="70"/>
    <tableColumn id="8" xr3:uid="{9CD0177A-F766-46FE-8463-7598AFB9101B}" uniqueName="8" name="ActualOperatingExpenses" queryTableFieldId="8" dataDxfId="69"/>
    <tableColumn id="9" xr3:uid="{D0E7F86A-BF76-41E7-BB37-6BC596A878FA}" uniqueName="9" name="BudgetOperatingExpenses" queryTableFieldId="9" dataDxfId="68"/>
    <tableColumn id="10" xr3:uid="{380FCAEC-83C8-496E-840F-D8D5ACEF7B23}" uniqueName="10" name="ActualTransactionCount" queryTableFieldId="10" dataDxfId="63"/>
    <tableColumn id="11" xr3:uid="{8C0AE940-83BA-4531-8D87-2AE415A29FAA}" uniqueName="11" name="MissingBudgetLineCount" queryTableFieldId="11" dataDxfId="62"/>
    <tableColumn id="12" xr3:uid="{94BD53C4-C8A8-4705-BC33-422FFA15ED78}" uniqueName="12" name="RevenueVariance" queryTableFieldId="12" dataDxfId="61"/>
    <tableColumn id="13" xr3:uid="{3C8BC0A6-192E-436B-BCF5-B9E59B9F4484}" uniqueName="13" name="CostOfSalesVariance" queryTableFieldId="13" dataDxfId="60"/>
    <tableColumn id="14" xr3:uid="{2DC2A60C-1EE9-41B1-B75A-1AB6EFB938FA}" uniqueName="14" name="ActualGrossProfit" queryTableFieldId="14" dataDxfId="67"/>
    <tableColumn id="15" xr3:uid="{936A8937-4B21-41D2-9C43-DF4BEB7D23B3}" uniqueName="15" name="BudgetGrossProfit" queryTableFieldId="15" dataDxfId="66"/>
    <tableColumn id="16" xr3:uid="{60410CCD-F22D-417D-96C6-6271F2B103D3}" uniqueName="16" name="BudgetProfitVariance" queryTableFieldId="16" dataDxfId="59"/>
    <tableColumn id="17" xr3:uid="{80A39003-9CB7-4BAC-BF6B-A6F3F490C5C4}" uniqueName="17" name="OperatingExpensesVariance" queryTableFieldId="17" dataDxfId="58"/>
    <tableColumn id="18" xr3:uid="{71259CB3-5C93-42FB-BB0F-D8C639C21C7A}" uniqueName="18" name="ActualOperatingProfit" queryTableFieldId="18" dataDxfId="65"/>
    <tableColumn id="19" xr3:uid="{C40E272E-3410-4ECD-80AC-1E13A493F0F6}" uniqueName="19" name="BudgetOperatingProfit" queryTableFieldId="19" dataDxfId="64"/>
    <tableColumn id="20" xr3:uid="{6877DC93-C9A3-4E83-8148-944364798CDD}" uniqueName="20" name="OperatingProfitVariance" queryTableFieldId="20" dataDxfId="57"/>
    <tableColumn id="21" xr3:uid="{5C27A2E4-F9E1-4A20-8750-B88948C338C4}" uniqueName="21" name="ActualOperatingMargin" queryTableFieldId="21" dataDxfId="56"/>
    <tableColumn id="22" xr3:uid="{3F395FF5-4F9C-4FEE-B9DF-ED19636FB381}" uniqueName="22" name="BudgetOperatingMargin" queryTableFieldId="22" dataDxfId="55"/>
    <tableColumn id="23" xr3:uid="{AF101BC8-0A18-4D66-94FB-D728026FBF8B}" uniqueName="23" name="OperatingProfitStatus" queryTableFieldId="23"/>
    <tableColumn id="24" xr3:uid="{7F947523-3A2F-4D50-93A1-9BC3A4D1774D}" uniqueName="24" name="BranchVarianceLogicCheck" queryTableFieldId="2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3DE801C-C864-4601-839C-C18DDF6A97A6}" name="tbl_DepartmentSummary" displayName="tbl_DepartmentSummary" ref="A6:X10" tableType="queryTable" totalsRowShown="0">
  <autoFilter ref="A6:X10" xr:uid="{A3DE801C-C864-4601-839C-C18DDF6A97A6}"/>
  <tableColumns count="24">
    <tableColumn id="1" xr3:uid="{B8A8C1AE-D3D1-4633-B018-A7AB0B845208}" uniqueName="1" name="DepartmentID" queryTableFieldId="1"/>
    <tableColumn id="2" xr3:uid="{4C59F047-04D7-4D0B-9B03-176494279341}" uniqueName="2" name="DepartmentName" queryTableFieldId="2" dataDxfId="107"/>
    <tableColumn id="3" xr3:uid="{11B6D55E-0811-47A1-97DF-270A2B93D8E3}" uniqueName="3" name="DepartmentCategory" queryTableFieldId="3" dataDxfId="106"/>
    <tableColumn id="4" xr3:uid="{9D2C730F-6B7E-4CC0-9024-3B8EB94EEA09}" uniqueName="4" name="ActualRevenue" queryTableFieldId="4" dataDxfId="94"/>
    <tableColumn id="5" xr3:uid="{96E70130-9DB9-4280-9097-14D09ABACB8D}" uniqueName="5" name="BudgetRevenue" queryTableFieldId="5" dataDxfId="93"/>
    <tableColumn id="6" xr3:uid="{5AAC43A5-A4B3-4D9F-B9D0-ABCC3DEAD2D0}" uniqueName="6" name="ActualCostOfSales" queryTableFieldId="6" dataDxfId="92"/>
    <tableColumn id="7" xr3:uid="{D6435F3E-E7EB-4C3A-B9D3-2A43F7F125D6}" uniqueName="7" name="BudgetCostOfSales" queryTableFieldId="7" dataDxfId="91"/>
    <tableColumn id="8" xr3:uid="{5385AB10-0F06-49EA-98E0-95423915ABF8}" uniqueName="8" name="ActualOperatingExpenses" queryTableFieldId="8" dataDxfId="90"/>
    <tableColumn id="9" xr3:uid="{5D0D5152-5E70-42C8-8777-5E025142C3C6}" uniqueName="9" name="BudgetOperatingExpenses" queryTableFieldId="9" dataDxfId="89"/>
    <tableColumn id="10" xr3:uid="{9C56801A-824C-4EFB-B6F2-771892B3AED8}" uniqueName="10" name="ActualTransactionCount" queryTableFieldId="10" dataDxfId="84"/>
    <tableColumn id="11" xr3:uid="{1DB1E373-75A0-4AC9-A2E0-5BADD646BFEC}" uniqueName="11" name="MissingBudgetLineCount" queryTableFieldId="11" dataDxfId="83"/>
    <tableColumn id="12" xr3:uid="{A272219E-EBBF-4A84-8AE8-1CAA7A195FB8}" uniqueName="12" name="RevenueVariance" queryTableFieldId="12" dataDxfId="79"/>
    <tableColumn id="13" xr3:uid="{BE4714C1-B67F-42B3-9135-40FC905E9226}" uniqueName="13" name="CostOfSalesVariance" queryTableFieldId="13" dataDxfId="78"/>
    <tableColumn id="14" xr3:uid="{ED163774-34FE-43BE-BEF7-C255ADADE56B}" uniqueName="14" name="ActualGrossProfit" queryTableFieldId="14" dataDxfId="88"/>
    <tableColumn id="15" xr3:uid="{A60450B6-C5F9-4847-9078-A84B4B0C96EA}" uniqueName="15" name="BudgetGrossProfit" queryTableFieldId="15" dataDxfId="87"/>
    <tableColumn id="16" xr3:uid="{48A188BD-1E78-43F2-8A01-5C45B6F21750}" uniqueName="16" name="GrossProfitVariance" queryTableFieldId="16" dataDxfId="74"/>
    <tableColumn id="17" xr3:uid="{F20EF466-9412-4D00-B0A7-678FA46A394E}" uniqueName="17" name="OperatingExpensesVariance" queryTableFieldId="17" dataDxfId="80"/>
    <tableColumn id="18" xr3:uid="{F56CD9D1-BFD6-4B61-981B-41BC5A2A5F95}" uniqueName="18" name="ActualOperatingProfit" queryTableFieldId="18" dataDxfId="86"/>
    <tableColumn id="19" xr3:uid="{3694BF77-A314-4804-99A6-ADB0E5644BC9}" uniqueName="19" name="BudgetOperatingProfit" queryTableFieldId="19" dataDxfId="85"/>
    <tableColumn id="20" xr3:uid="{9BF22B9E-8132-4463-805E-E5A5802683A1}" uniqueName="20" name="OperatingProfitVariance" queryTableFieldId="20" dataDxfId="77"/>
    <tableColumn id="21" xr3:uid="{0C1198C8-9E69-4C9C-B0DB-E7270A65848A}" uniqueName="21" name="ActualOperatingMargin" queryTableFieldId="21" dataDxfId="76" dataCellStyle="Percent"/>
    <tableColumn id="22" xr3:uid="{4D1666C2-A823-42C5-A258-B8C706E9B6F7}" uniqueName="22" name="BudgetOperatingMargin" queryTableFieldId="22" dataDxfId="75" dataCellStyle="Percent"/>
    <tableColumn id="23" xr3:uid="{419DFF39-FE00-44E9-99D1-38CEC1C1AB9B}" uniqueName="23" name="OperatingProfitStatus" queryTableFieldId="23"/>
    <tableColumn id="24" xr3:uid="{63636462-405A-4ACA-B3F1-AA2E2ECBF6EC}" uniqueName="24" name="DepartmentVarianceLogicCheck" queryTableFieldId="2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AFD037D-BFF4-4900-A5D3-7FC2D52DABB7}" name="tbl_AccountSummary" displayName="tbl_AccountSummary" ref="A6:O27" tableType="queryTable" totalsRowShown="0">
  <autoFilter ref="A6:O27" xr:uid="{6AFD037D-BFF4-4900-A5D3-7FC2D52DABB7}"/>
  <tableColumns count="15">
    <tableColumn id="1" xr3:uid="{91011667-AB12-4973-AE14-074E7E2C64FA}" uniqueName="1" name="AccountCode" queryTableFieldId="1"/>
    <tableColumn id="2" xr3:uid="{54D2F085-0C27-4C94-8144-FD6E4B7711B7}" uniqueName="2" name="AccountName" queryTableFieldId="2" dataDxfId="163"/>
    <tableColumn id="3" xr3:uid="{C114E566-CEEA-4978-B95E-0FB96862159C}" uniqueName="3" name="StatementSection" queryTableFieldId="3" dataDxfId="162"/>
    <tableColumn id="4" xr3:uid="{D5173133-8815-48ED-B589-D524CC621066}" uniqueName="4" name="StatementSectionSort" queryTableFieldId="4"/>
    <tableColumn id="5" xr3:uid="{32F8B91C-5F62-43AD-86E6-20A2E77570A8}" uniqueName="5" name="AccountGroup" queryTableFieldId="5" dataDxfId="161"/>
    <tableColumn id="6" xr3:uid="{C090D463-5F05-4B80-B80F-A3108F1F9897}" uniqueName="6" name="AccountNature" queryTableFieldId="6" dataDxfId="160"/>
    <tableColumn id="7" xr3:uid="{B80B1B2B-AA40-4930-B4FE-6745DEB522CC}" uniqueName="7" name="DisplayOrder" queryTableFieldId="7" dataDxfId="159"/>
    <tableColumn id="8" xr3:uid="{991AC27A-8CBD-4DB8-BF1D-E64209A9B9FB}" uniqueName="8" name="ActualAmount" queryTableFieldId="8" dataDxfId="104"/>
    <tableColumn id="9" xr3:uid="{2DBCA171-6450-4B86-8550-59272757CAB5}" uniqueName="9" name="BudgetAmount" queryTableFieldId="9" dataDxfId="103"/>
    <tableColumn id="10" xr3:uid="{E19C7C99-F7E9-4FB1-BA8D-ABEE97F0B02A}" uniqueName="10" name="ActualTransactionCount" queryTableFieldId="10" dataDxfId="99"/>
    <tableColumn id="11" xr3:uid="{50EFD343-7080-4BBA-93CC-A3FC8232D404}" uniqueName="11" name="MissingBudgetLineCount" queryTableFieldId="11" dataDxfId="98"/>
    <tableColumn id="12" xr3:uid="{4D22A787-7B49-4385-9EC3-9B00BE0583A1}" uniqueName="12" name="FavourableVariance" queryTableFieldId="12" dataDxfId="82"/>
    <tableColumn id="13" xr3:uid="{3CC69232-0C46-4391-8E70-749879925B67}" uniqueName="13" name="VariancePercentage" queryTableFieldId="13" dataDxfId="100"/>
    <tableColumn id="14" xr3:uid="{8A7C40B9-A44B-404C-8B73-3741C87D64FD}" uniqueName="14" name="VarianceMagnitude" queryTableFieldId="14" dataDxfId="97"/>
    <tableColumn id="15" xr3:uid="{3DA44088-2F46-4612-A9C3-1248E8734609}" uniqueName="15" name="AccountVarianceStatus" queryTableFieldId="1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5B0DA92-E9D0-414F-B5E2-81A077D4CF12}" name="tbl_TopAccountVariances" displayName="tbl_TopAccountVariances" ref="A30:H40" tableType="queryTable" totalsRowShown="0">
  <autoFilter ref="A30:H40" xr:uid="{85B0DA92-E9D0-414F-B5E2-81A077D4CF12}"/>
  <tableColumns count="8">
    <tableColumn id="1" xr3:uid="{23209662-1FA4-4F14-AE3A-5E0DC73E741F}" uniqueName="1" name="AccountCode" queryTableFieldId="1"/>
    <tableColumn id="2" xr3:uid="{85A76874-2C97-4AB1-9AF8-E2EA36D6AB5A}" uniqueName="2" name="AccountName" queryTableFieldId="2" dataDxfId="158"/>
    <tableColumn id="3" xr3:uid="{48B4DB40-C7FD-4AC3-90FC-73679D074EB4}" uniqueName="3" name="StatementSection" queryTableFieldId="3" dataDxfId="157"/>
    <tableColumn id="4" xr3:uid="{20DB8D1B-37DF-448B-9ECE-6BE260DC7771}" uniqueName="4" name="ActualAmount" queryTableFieldId="4" dataDxfId="102"/>
    <tableColumn id="5" xr3:uid="{AC3D982B-B20D-4C9B-85A8-811CFB9FF4CD}" uniqueName="5" name="BudgetAmount" queryTableFieldId="5" dataDxfId="101"/>
    <tableColumn id="6" xr3:uid="{6BE9881B-4BB5-44E8-878F-BD46B52F1009}" uniqueName="6" name="FavourableVariance" queryTableFieldId="6" dataDxfId="81"/>
    <tableColumn id="7" xr3:uid="{00EA2A5E-0D86-4A3A-8651-4B972287DCE7}" uniqueName="7" name="VarianceMagnitude" queryTableFieldId="7" dataDxfId="96"/>
    <tableColumn id="8" xr3:uid="{B6D0EFF1-3345-4F2F-A98D-BE078E65328E}" uniqueName="8" name="AccountVarianceStatus" queryTableFieldId="8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532080A-52CA-4B74-AF30-348B0F931B4D}" name="tbl_ExceptionSummary" displayName="tbl_ExceptionSummary" ref="A6:D14" tableType="queryTable" totalsRowShown="0">
  <autoFilter ref="A6:D14" xr:uid="{A532080A-52CA-4B74-AF30-348B0F931B4D}"/>
  <tableColumns count="4">
    <tableColumn id="1" xr3:uid="{AF671813-1482-43C0-9692-23212D0291E3}" uniqueName="1" name="ExceptionType" queryTableFieldId="1"/>
    <tableColumn id="2" xr3:uid="{35562226-BB14-4151-9EC2-2B5341B850D2}" uniqueName="2" name="ExceptionCount" queryTableFieldId="2"/>
    <tableColumn id="3" xr3:uid="{B9763DBF-8802-47F4-8BA5-46F2E10A9B86}" uniqueName="3" name="OpenCount" queryTableFieldId="3"/>
    <tableColumn id="4" xr3:uid="{68B48F07-109B-4F20-B363-F686C8792982}" uniqueName="4" name="ResolvedCount" queryTableFieldId="4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BA0B0EF-9695-4A7E-9B5F-DCCBC56D290A}" name="tbl_Exceptions" displayName="tbl_Exceptions" ref="A18:P29" tableType="queryTable" totalsRowShown="0">
  <autoFilter ref="A18:P29" xr:uid="{0BA0B0EF-9695-4A7E-9B5F-DCCBC56D290A}"/>
  <tableColumns count="16">
    <tableColumn id="1" xr3:uid="{3EAF5F4B-AFDB-40E7-A6FA-5C066DD71EE6}" uniqueName="1" name="ExceptionSource" queryTableFieldId="1"/>
    <tableColumn id="2" xr3:uid="{6CE9CA99-7D37-4695-8069-06007CACDF4C}" uniqueName="2" name="ExceptionType" queryTableFieldId="2"/>
    <tableColumn id="3" xr3:uid="{D3EC8AAA-2BC8-401A-BAAC-0C00050423F3}" uniqueName="3" name="MonthKey" queryTableFieldId="3" dataDxfId="105"/>
    <tableColumn id="4" xr3:uid="{AD4837DA-7135-4272-B77A-58211DF27E40}" uniqueName="4" name="BranchID" queryTableFieldId="4"/>
    <tableColumn id="5" xr3:uid="{73156864-59F0-4D9D-B5D6-82827E2F7140}" uniqueName="5" name="DepartmentID_Original" queryTableFieldId="5"/>
    <tableColumn id="6" xr3:uid="{79FD6FC1-725A-4C3A-A58D-0BCA3224AC17}" uniqueName="6" name="DepartmentID_Processed" queryTableFieldId="6"/>
    <tableColumn id="7" xr3:uid="{1F0B090B-4F9C-4629-9632-CB66EBD24546}" uniqueName="7" name="AccountCode_Original" queryTableFieldId="7"/>
    <tableColumn id="8" xr3:uid="{EB57A2DD-A01F-45E8-B685-7380DACF0860}" uniqueName="8" name="AccountCode_Processed" queryTableFieldId="8"/>
    <tableColumn id="9" xr3:uid="{E25DE39E-6A41-435B-855F-ACAA737E21C7}" uniqueName="9" name="RecordID" queryTableFieldId="9"/>
    <tableColumn id="10" xr3:uid="{B00A26BA-01AC-48BA-A570-44CE34E63B8D}" uniqueName="10" name="DocumentNumber" queryTableFieldId="10"/>
    <tableColumn id="11" xr3:uid="{D14F9641-32FD-491B-AA99-6E1DB7C94371}" uniqueName="11" name="Description_Original" queryTableFieldId="11"/>
    <tableColumn id="12" xr3:uid="{14A54492-B15B-4670-A1C2-D60B0E80ADF0}" uniqueName="12" name="Description_Processed" queryTableFieldId="12"/>
    <tableColumn id="13" xr3:uid="{2A8DDEA4-0C42-4712-8814-F3410EB2413F}" uniqueName="13" name="Amount" queryTableFieldId="13" dataDxfId="95"/>
    <tableColumn id="14" xr3:uid="{3AC6DC11-C1A6-4A16-9ABA-35D4C96DBD97}" uniqueName="14" name="ResolutionAction" queryTableFieldId="14"/>
    <tableColumn id="15" xr3:uid="{6E71DE12-7AFB-41DD-A48F-026F93DD991C}" uniqueName="15" name="ReportingTreatment" queryTableFieldId="15"/>
    <tableColumn id="16" xr3:uid="{C661C808-F465-46B3-986C-BBEDB73B39AD}" uniqueName="16" name="ExceptionReviewStatus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"/>
  <sheetViews>
    <sheetView showGridLines="0" workbookViewId="0">
      <selection activeCell="A10" sqref="A10:B10"/>
    </sheetView>
  </sheetViews>
  <sheetFormatPr defaultColWidth="0" defaultRowHeight="15" zeroHeight="1" x14ac:dyDescent="0.25"/>
  <cols>
    <col min="1" max="8" width="12.5703125" customWidth="1"/>
    <col min="9" max="9" width="9.140625" customWidth="1"/>
    <col min="10" max="16384" width="9.140625" hidden="1"/>
  </cols>
  <sheetData>
    <row r="1" spans="1:9" ht="23.25" x14ac:dyDescent="0.35">
      <c r="A1" s="21" t="s">
        <v>377</v>
      </c>
      <c r="B1" s="21"/>
      <c r="C1" s="21"/>
      <c r="D1" s="21"/>
      <c r="E1" s="21"/>
      <c r="F1" s="21"/>
      <c r="G1" s="21"/>
      <c r="H1" s="21"/>
      <c r="I1" s="21"/>
    </row>
    <row r="2" spans="1:9" x14ac:dyDescent="0.25">
      <c r="A2" s="13" t="s">
        <v>378</v>
      </c>
      <c r="B2" s="13"/>
      <c r="C2" s="13"/>
      <c r="D2" s="13"/>
      <c r="E2" s="13"/>
      <c r="F2" s="13"/>
      <c r="G2" s="13"/>
      <c r="H2" s="13"/>
      <c r="I2" s="13"/>
    </row>
    <row r="3" spans="1:9" x14ac:dyDescent="0.25">
      <c r="A3" s="13" t="s">
        <v>379</v>
      </c>
      <c r="B3" s="13"/>
      <c r="C3" s="13"/>
      <c r="D3" s="13"/>
      <c r="E3" s="13"/>
      <c r="F3" s="13"/>
      <c r="G3" s="13"/>
      <c r="H3" s="13"/>
      <c r="I3" s="13"/>
    </row>
    <row r="4" spans="1:9" x14ac:dyDescent="0.25"/>
    <row r="5" spans="1:9" x14ac:dyDescent="0.25">
      <c r="A5" s="15" t="s">
        <v>380</v>
      </c>
      <c r="B5" s="15"/>
      <c r="C5" s="15" t="s">
        <v>381</v>
      </c>
      <c r="D5" s="15"/>
      <c r="E5" s="15" t="s">
        <v>382</v>
      </c>
      <c r="F5" s="15"/>
      <c r="G5" s="16" t="s">
        <v>383</v>
      </c>
      <c r="H5" s="16"/>
    </row>
    <row r="6" spans="1:9" x14ac:dyDescent="0.25">
      <c r="A6" s="13" t="str">
        <f>IF(COUNTIF(tbl_ReconciliationSummary[ControlStatus],"REVIEW")=0,"PASS","REVIEW")</f>
        <v>PASS</v>
      </c>
      <c r="B6" s="13"/>
      <c r="C6" s="13" t="str">
        <f>IF(COUNTIF(tbl_MonthlyReconciliation[MonthlyCoverageStatus],"REVIEW")=0,"PASS","REVIEW")</f>
        <v>PASS</v>
      </c>
      <c r="D6" s="13"/>
      <c r="E6" s="13">
        <f>SUM(tbl_ExceptionSummary[OpenCount])</f>
        <v>6</v>
      </c>
      <c r="F6" s="13"/>
      <c r="G6" s="14">
        <f>SUM(tbl_MonthlyPLSummary[MissingBudgetLineCount])</f>
        <v>1</v>
      </c>
      <c r="H6" s="14"/>
    </row>
    <row r="7" spans="1:9" x14ac:dyDescent="0.25"/>
    <row r="8" spans="1:9" x14ac:dyDescent="0.25"/>
    <row r="9" spans="1:9" x14ac:dyDescent="0.25">
      <c r="A9" s="18" t="s">
        <v>160</v>
      </c>
      <c r="B9" s="18"/>
      <c r="C9" s="18" t="s">
        <v>161</v>
      </c>
      <c r="D9" s="18"/>
      <c r="E9" s="18" t="s">
        <v>163</v>
      </c>
      <c r="F9" s="18"/>
      <c r="G9" s="18" t="s">
        <v>165</v>
      </c>
      <c r="H9" s="18"/>
    </row>
    <row r="10" spans="1:9" x14ac:dyDescent="0.25">
      <c r="A10" s="19">
        <f>SUM(tbl_MonthlyPLSummary[ActualRevenue])</f>
        <v>19806040</v>
      </c>
      <c r="B10" s="19"/>
      <c r="C10" s="19">
        <f>SUM(tbl_MonthlyPLSummary[BudgetRevenue])</f>
        <v>19515100</v>
      </c>
      <c r="D10" s="19"/>
      <c r="E10" s="19">
        <f>SUM(tbl_MonthlyPLSummary[ActualOperatingProfit])</f>
        <v>2310590</v>
      </c>
      <c r="F10" s="19"/>
      <c r="G10" s="19">
        <f>SUM(tbl_MonthlyPLSummary[OperatingProfitVariance])</f>
        <v>10890</v>
      </c>
      <c r="H10" s="19"/>
    </row>
    <row r="11" spans="1:9" x14ac:dyDescent="0.25"/>
    <row r="12" spans="1:9" x14ac:dyDescent="0.25"/>
    <row r="13" spans="1:9" x14ac:dyDescent="0.25">
      <c r="A13" s="17" t="s">
        <v>384</v>
      </c>
      <c r="E13" s="17" t="s">
        <v>385</v>
      </c>
    </row>
    <row r="14" spans="1:9" x14ac:dyDescent="0.25">
      <c r="A14" t="str">
        <f>HYPERLINK("#'01_Reconciliation'!A1","01 Reconciliation and Controls")</f>
        <v>01 Reconciliation and Controls</v>
      </c>
      <c r="E14" t="s">
        <v>386</v>
      </c>
    </row>
    <row r="15" spans="1:9" x14ac:dyDescent="0.25">
      <c r="A15" s="20" t="str">
        <f>HYPERLINK("#'02_Budget_vs_Actual'!A1","02 Budget vs Actual")</f>
        <v>02 Budget vs Actual</v>
      </c>
      <c r="E15" t="s">
        <v>387</v>
      </c>
    </row>
    <row r="16" spans="1:9" x14ac:dyDescent="0.25">
      <c r="A16" t="str">
        <f>HYPERLINK("#'03_Branch_Analysis'!A1","03 Branch Analysis")</f>
        <v>03 Branch Analysis</v>
      </c>
      <c r="E16" t="s">
        <v>388</v>
      </c>
    </row>
    <row r="17" spans="1:5" x14ac:dyDescent="0.25">
      <c r="A17" t="str">
        <f>HYPERLINK("#'04_Department_Analysis'!A1","04 Department Analysis")</f>
        <v>04 Department Analysis</v>
      </c>
      <c r="E17" t="s">
        <v>389</v>
      </c>
    </row>
    <row r="18" spans="1:5" x14ac:dyDescent="0.25">
      <c r="A18" t="str">
        <f>HYPERLINK("#'05_Account_Analysis'!A1","05 Account Analysis")</f>
        <v>05 Account Analysis</v>
      </c>
      <c r="E18" t="s">
        <v>390</v>
      </c>
    </row>
    <row r="19" spans="1:5" x14ac:dyDescent="0.25">
      <c r="A19" t="str">
        <f>HYPERLINK("#'06_Exceptions'!A1","06 Exceptions Register")</f>
        <v>06 Exceptions Register</v>
      </c>
    </row>
    <row r="20" spans="1:5" x14ac:dyDescent="0.25">
      <c r="E20" s="17" t="s">
        <v>391</v>
      </c>
    </row>
    <row r="21" spans="1:5" x14ac:dyDescent="0.25">
      <c r="E21" t="s">
        <v>392</v>
      </c>
    </row>
    <row r="22" spans="1:5" x14ac:dyDescent="0.25">
      <c r="E22" t="s">
        <v>393</v>
      </c>
    </row>
    <row r="23" spans="1:5" x14ac:dyDescent="0.25">
      <c r="E23" t="s">
        <v>394</v>
      </c>
    </row>
    <row r="24" spans="1:5" x14ac:dyDescent="0.25">
      <c r="E24" t="s">
        <v>395</v>
      </c>
    </row>
    <row r="33" customFormat="1" hidden="1" x14ac:dyDescent="0.25"/>
    <row r="34" customFormat="1" hidden="1" x14ac:dyDescent="0.25"/>
    <row r="35" customFormat="1" hidden="1" x14ac:dyDescent="0.25"/>
    <row r="36" customFormat="1" hidden="1" x14ac:dyDescent="0.25"/>
    <row r="37" customFormat="1" hidden="1" x14ac:dyDescent="0.25"/>
    <row r="38" customFormat="1" hidden="1" x14ac:dyDescent="0.25"/>
    <row r="39" customFormat="1" hidden="1" x14ac:dyDescent="0.25"/>
    <row r="40" customFormat="1" hidden="1" x14ac:dyDescent="0.25"/>
    <row r="41" customFormat="1" hidden="1" x14ac:dyDescent="0.25"/>
    <row r="42" customFormat="1" hidden="1" x14ac:dyDescent="0.25"/>
    <row r="43" customFormat="1" hidden="1" x14ac:dyDescent="0.25"/>
    <row r="44" customFormat="1" hidden="1" x14ac:dyDescent="0.25"/>
    <row r="45" customFormat="1" hidden="1" x14ac:dyDescent="0.25"/>
  </sheetData>
  <mergeCells count="19">
    <mergeCell ref="A9:B9"/>
    <mergeCell ref="C9:D9"/>
    <mergeCell ref="E9:F9"/>
    <mergeCell ref="G9:H9"/>
    <mergeCell ref="A10:B10"/>
    <mergeCell ref="C10:D10"/>
    <mergeCell ref="E10:F10"/>
    <mergeCell ref="G10:H10"/>
    <mergeCell ref="A6:B6"/>
    <mergeCell ref="C5:D5"/>
    <mergeCell ref="E5:F5"/>
    <mergeCell ref="G5:H5"/>
    <mergeCell ref="C6:D6"/>
    <mergeCell ref="E6:F6"/>
    <mergeCell ref="G6:H6"/>
    <mergeCell ref="A5:B5"/>
    <mergeCell ref="A1:I1"/>
    <mergeCell ref="A2:I2"/>
    <mergeCell ref="A3:I3"/>
  </mergeCells>
  <conditionalFormatting sqref="A6:B6">
    <cfRule type="expression" dxfId="42" priority="5">
      <formula>$A$6="REVIEW"</formula>
    </cfRule>
    <cfRule type="expression" dxfId="41" priority="6">
      <formula>$A$6="PASS"</formula>
    </cfRule>
  </conditionalFormatting>
  <conditionalFormatting sqref="C6">
    <cfRule type="expression" dxfId="40" priority="3">
      <formula>$A$6="REVIEW"</formula>
    </cfRule>
    <cfRule type="expression" dxfId="39" priority="4">
      <formula>$A$6="PASS"</formula>
    </cfRule>
  </conditionalFormatting>
  <conditionalFormatting sqref="A10:H10">
    <cfRule type="cellIs" dxfId="38" priority="1" operator="lessThan">
      <formula>0</formula>
    </cfRule>
    <cfRule type="cellIs" dxfId="37" priority="2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2D7BA-4EDA-4452-837F-5692BF02F0A0}">
  <dimension ref="A1:M38"/>
  <sheetViews>
    <sheetView showGridLines="0" zoomScale="85" zoomScaleNormal="85" workbookViewId="0">
      <pane ySplit="3" topLeftCell="A4" activePane="bottomLeft" state="frozen"/>
      <selection pane="bottomLeft"/>
    </sheetView>
  </sheetViews>
  <sheetFormatPr defaultColWidth="0" defaultRowHeight="15" zeroHeight="1" x14ac:dyDescent="0.25"/>
  <cols>
    <col min="1" max="1" width="12.5703125" bestFit="1" customWidth="1"/>
    <col min="2" max="2" width="17.7109375" bestFit="1" customWidth="1"/>
    <col min="3" max="3" width="51.42578125" bestFit="1" customWidth="1"/>
    <col min="4" max="4" width="16.7109375" bestFit="1" customWidth="1"/>
    <col min="5" max="5" width="22" bestFit="1" customWidth="1"/>
    <col min="6" max="6" width="22.7109375" bestFit="1" customWidth="1"/>
    <col min="7" max="7" width="24.7109375" bestFit="1" customWidth="1"/>
    <col min="8" max="8" width="23.7109375" bestFit="1" customWidth="1"/>
    <col min="9" max="9" width="24.42578125" bestFit="1" customWidth="1"/>
    <col min="10" max="10" width="21.42578125" bestFit="1" customWidth="1"/>
    <col min="11" max="11" width="25.85546875" bestFit="1" customWidth="1"/>
    <col min="12" max="12" width="25.28515625" bestFit="1" customWidth="1"/>
    <col min="13" max="13" width="25" bestFit="1" customWidth="1"/>
    <col min="14" max="14" width="8.85546875" hidden="1" customWidth="1"/>
    <col min="15" max="16384" width="8.85546875" hidden="1"/>
  </cols>
  <sheetData>
    <row r="1" spans="1:10" ht="23.25" x14ac:dyDescent="0.35">
      <c r="A1" s="2" t="s">
        <v>0</v>
      </c>
    </row>
    <row r="2" spans="1:10" x14ac:dyDescent="0.25">
      <c r="A2" t="s">
        <v>1</v>
      </c>
    </row>
    <row r="3" spans="1:10" x14ac:dyDescent="0.25"/>
    <row r="4" spans="1:10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</row>
    <row r="5" spans="1:10" x14ac:dyDescent="0.25">
      <c r="A5" t="s">
        <v>12</v>
      </c>
      <c r="B5" t="s">
        <v>13</v>
      </c>
      <c r="C5" t="s">
        <v>14</v>
      </c>
      <c r="D5" s="3">
        <v>5829</v>
      </c>
      <c r="E5" s="3">
        <v>5829</v>
      </c>
      <c r="F5" s="3">
        <v>0</v>
      </c>
      <c r="G5" t="s">
        <v>15</v>
      </c>
      <c r="H5" t="s">
        <v>16</v>
      </c>
      <c r="I5" t="s">
        <v>17</v>
      </c>
      <c r="J5" t="s">
        <v>18</v>
      </c>
    </row>
    <row r="6" spans="1:10" x14ac:dyDescent="0.25">
      <c r="A6" t="s">
        <v>19</v>
      </c>
      <c r="B6" t="s">
        <v>13</v>
      </c>
      <c r="C6" t="s">
        <v>20</v>
      </c>
      <c r="D6" s="3">
        <v>37308580</v>
      </c>
      <c r="E6" s="3">
        <v>37308580</v>
      </c>
      <c r="F6" s="3">
        <v>0</v>
      </c>
      <c r="G6" t="s">
        <v>21</v>
      </c>
      <c r="H6" t="s">
        <v>16</v>
      </c>
      <c r="I6" t="s">
        <v>17</v>
      </c>
      <c r="J6" t="s">
        <v>22</v>
      </c>
    </row>
    <row r="7" spans="1:10" x14ac:dyDescent="0.25">
      <c r="A7" t="s">
        <v>23</v>
      </c>
      <c r="B7" t="s">
        <v>13</v>
      </c>
      <c r="C7" t="s">
        <v>24</v>
      </c>
      <c r="D7" s="3">
        <v>5829</v>
      </c>
      <c r="E7" s="3">
        <v>5828</v>
      </c>
      <c r="F7" s="3">
        <v>-1</v>
      </c>
      <c r="G7" t="s">
        <v>15</v>
      </c>
      <c r="H7" t="s">
        <v>25</v>
      </c>
      <c r="I7" t="s">
        <v>17</v>
      </c>
      <c r="J7" t="s">
        <v>26</v>
      </c>
    </row>
    <row r="8" spans="1:10" x14ac:dyDescent="0.25">
      <c r="A8" t="s">
        <v>27</v>
      </c>
      <c r="B8" t="s">
        <v>13</v>
      </c>
      <c r="C8" t="s">
        <v>28</v>
      </c>
      <c r="D8" s="3">
        <v>37308580</v>
      </c>
      <c r="E8" s="3">
        <v>37301490</v>
      </c>
      <c r="F8" s="3">
        <v>7090</v>
      </c>
      <c r="G8" t="s">
        <v>21</v>
      </c>
      <c r="H8" t="s">
        <v>29</v>
      </c>
      <c r="I8" t="s">
        <v>17</v>
      </c>
      <c r="J8" t="s">
        <v>30</v>
      </c>
    </row>
    <row r="9" spans="1:10" x14ac:dyDescent="0.25">
      <c r="A9" t="s">
        <v>31</v>
      </c>
      <c r="B9" t="s">
        <v>13</v>
      </c>
      <c r="C9" t="s">
        <v>32</v>
      </c>
      <c r="D9" s="3">
        <v>37301490</v>
      </c>
      <c r="E9" s="3">
        <v>37301490</v>
      </c>
      <c r="F9" s="3">
        <v>0</v>
      </c>
      <c r="G9" t="s">
        <v>21</v>
      </c>
      <c r="H9" t="s">
        <v>16</v>
      </c>
      <c r="I9" t="s">
        <v>17</v>
      </c>
      <c r="J9" t="s">
        <v>33</v>
      </c>
    </row>
    <row r="10" spans="1:10" x14ac:dyDescent="0.25">
      <c r="A10" t="s">
        <v>34</v>
      </c>
      <c r="B10" t="s">
        <v>13</v>
      </c>
      <c r="C10" t="s">
        <v>35</v>
      </c>
      <c r="D10" s="3">
        <v>5828</v>
      </c>
      <c r="E10" s="3">
        <v>5828</v>
      </c>
      <c r="F10" s="3">
        <v>0</v>
      </c>
      <c r="G10" t="s">
        <v>15</v>
      </c>
      <c r="H10" t="s">
        <v>16</v>
      </c>
      <c r="I10" t="s">
        <v>17</v>
      </c>
      <c r="J10" t="s">
        <v>36</v>
      </c>
    </row>
    <row r="11" spans="1:10" x14ac:dyDescent="0.25">
      <c r="A11" t="s">
        <v>37</v>
      </c>
      <c r="B11" t="s">
        <v>38</v>
      </c>
      <c r="C11" t="s">
        <v>14</v>
      </c>
      <c r="D11" s="3">
        <v>2159</v>
      </c>
      <c r="E11" s="3">
        <v>2159</v>
      </c>
      <c r="F11" s="3">
        <v>0</v>
      </c>
      <c r="G11" t="s">
        <v>15</v>
      </c>
      <c r="H11" t="s">
        <v>16</v>
      </c>
      <c r="I11" t="s">
        <v>17</v>
      </c>
      <c r="J11" t="s">
        <v>39</v>
      </c>
    </row>
    <row r="12" spans="1:10" x14ac:dyDescent="0.25">
      <c r="A12" t="s">
        <v>40</v>
      </c>
      <c r="B12" t="s">
        <v>38</v>
      </c>
      <c r="C12" t="s">
        <v>20</v>
      </c>
      <c r="D12" s="3">
        <v>36730500</v>
      </c>
      <c r="E12" s="3">
        <v>36730500</v>
      </c>
      <c r="F12" s="3">
        <v>0</v>
      </c>
      <c r="G12" t="s">
        <v>21</v>
      </c>
      <c r="H12" t="s">
        <v>16</v>
      </c>
      <c r="I12" t="s">
        <v>17</v>
      </c>
      <c r="J12" t="s">
        <v>41</v>
      </c>
    </row>
    <row r="13" spans="1:10" x14ac:dyDescent="0.25">
      <c r="A13" t="s">
        <v>42</v>
      </c>
      <c r="B13" t="s">
        <v>38</v>
      </c>
      <c r="C13" t="s">
        <v>43</v>
      </c>
      <c r="D13" s="3">
        <v>2159</v>
      </c>
      <c r="E13" s="3">
        <v>2160</v>
      </c>
      <c r="F13" s="3">
        <v>1</v>
      </c>
      <c r="G13" t="s">
        <v>15</v>
      </c>
      <c r="H13" t="s">
        <v>44</v>
      </c>
      <c r="I13" t="s">
        <v>17</v>
      </c>
      <c r="J13" t="s">
        <v>45</v>
      </c>
    </row>
    <row r="14" spans="1:10" x14ac:dyDescent="0.25">
      <c r="A14" t="s">
        <v>46</v>
      </c>
      <c r="B14" t="s">
        <v>38</v>
      </c>
      <c r="C14" t="s">
        <v>47</v>
      </c>
      <c r="D14" s="3">
        <v>36730500</v>
      </c>
      <c r="E14" s="3">
        <v>36730500</v>
      </c>
      <c r="F14" s="3">
        <v>0</v>
      </c>
      <c r="G14" t="s">
        <v>21</v>
      </c>
      <c r="H14" t="s">
        <v>16</v>
      </c>
      <c r="I14" t="s">
        <v>17</v>
      </c>
      <c r="J14" t="s">
        <v>48</v>
      </c>
    </row>
    <row r="15" spans="1:10" x14ac:dyDescent="0.25">
      <c r="A15" t="s">
        <v>49</v>
      </c>
      <c r="B15" t="s">
        <v>38</v>
      </c>
      <c r="C15" t="s">
        <v>50</v>
      </c>
      <c r="D15" s="3">
        <v>36730500</v>
      </c>
      <c r="E15" s="3">
        <v>36730500</v>
      </c>
      <c r="F15" s="3">
        <v>0</v>
      </c>
      <c r="G15" t="s">
        <v>21</v>
      </c>
      <c r="H15" t="s">
        <v>16</v>
      </c>
      <c r="I15" t="s">
        <v>17</v>
      </c>
      <c r="J15" t="s">
        <v>51</v>
      </c>
    </row>
    <row r="16" spans="1:10" x14ac:dyDescent="0.25">
      <c r="A16" t="s">
        <v>52</v>
      </c>
      <c r="B16" t="s">
        <v>53</v>
      </c>
      <c r="C16" t="s">
        <v>54</v>
      </c>
      <c r="D16" s="3">
        <v>0</v>
      </c>
      <c r="E16" s="3">
        <v>0</v>
      </c>
      <c r="F16" s="3">
        <v>0</v>
      </c>
      <c r="G16" t="s">
        <v>55</v>
      </c>
      <c r="H16" t="s">
        <v>56</v>
      </c>
      <c r="I16" t="s">
        <v>17</v>
      </c>
      <c r="J16" t="s">
        <v>57</v>
      </c>
    </row>
    <row r="17" spans="1:13" x14ac:dyDescent="0.25">
      <c r="A17" t="s">
        <v>58</v>
      </c>
      <c r="B17" t="s">
        <v>53</v>
      </c>
      <c r="C17" t="s">
        <v>59</v>
      </c>
      <c r="D17" s="3">
        <v>0</v>
      </c>
      <c r="E17" s="3">
        <v>0</v>
      </c>
      <c r="F17" s="3">
        <v>0</v>
      </c>
      <c r="G17" t="s">
        <v>55</v>
      </c>
      <c r="H17" t="s">
        <v>56</v>
      </c>
      <c r="I17" t="s">
        <v>17</v>
      </c>
      <c r="J17" t="s">
        <v>60</v>
      </c>
    </row>
    <row r="18" spans="1:13" x14ac:dyDescent="0.25">
      <c r="A18" t="s">
        <v>61</v>
      </c>
      <c r="B18" t="s">
        <v>62</v>
      </c>
      <c r="C18" t="s">
        <v>63</v>
      </c>
      <c r="D18" s="3">
        <v>2160</v>
      </c>
      <c r="E18" s="3">
        <v>2160</v>
      </c>
      <c r="F18" s="3">
        <v>0</v>
      </c>
      <c r="G18" t="s">
        <v>15</v>
      </c>
      <c r="H18" t="s">
        <v>16</v>
      </c>
      <c r="I18" t="s">
        <v>17</v>
      </c>
      <c r="J18" t="s">
        <v>64</v>
      </c>
    </row>
    <row r="19" spans="1:13" x14ac:dyDescent="0.25">
      <c r="A19" t="s">
        <v>65</v>
      </c>
      <c r="B19" t="s">
        <v>62</v>
      </c>
      <c r="C19" t="s">
        <v>66</v>
      </c>
      <c r="D19" s="3">
        <v>37301490</v>
      </c>
      <c r="E19" s="3">
        <v>37301490</v>
      </c>
      <c r="F19" s="3">
        <v>0</v>
      </c>
      <c r="G19" t="s">
        <v>21</v>
      </c>
      <c r="H19" t="s">
        <v>16</v>
      </c>
      <c r="I19" t="s">
        <v>17</v>
      </c>
      <c r="J19" t="s">
        <v>67</v>
      </c>
    </row>
    <row r="20" spans="1:13" x14ac:dyDescent="0.25">
      <c r="A20" t="s">
        <v>68</v>
      </c>
      <c r="B20" t="s">
        <v>62</v>
      </c>
      <c r="C20" t="s">
        <v>69</v>
      </c>
      <c r="D20" s="3">
        <v>36730500</v>
      </c>
      <c r="E20" s="3">
        <v>36730500</v>
      </c>
      <c r="F20" s="3">
        <v>0</v>
      </c>
      <c r="G20" t="s">
        <v>21</v>
      </c>
      <c r="H20" t="s">
        <v>16</v>
      </c>
      <c r="I20" t="s">
        <v>17</v>
      </c>
      <c r="J20" t="s">
        <v>70</v>
      </c>
    </row>
    <row r="21" spans="1:13" x14ac:dyDescent="0.25">
      <c r="A21" t="s">
        <v>71</v>
      </c>
      <c r="B21" t="s">
        <v>62</v>
      </c>
      <c r="C21" t="s">
        <v>72</v>
      </c>
      <c r="D21" s="3">
        <v>0</v>
      </c>
      <c r="E21" s="3">
        <v>0</v>
      </c>
      <c r="F21" s="3">
        <v>0</v>
      </c>
      <c r="G21" t="s">
        <v>55</v>
      </c>
      <c r="H21" t="s">
        <v>73</v>
      </c>
      <c r="I21" t="s">
        <v>17</v>
      </c>
      <c r="J21" t="s">
        <v>74</v>
      </c>
    </row>
    <row r="22" spans="1:13" x14ac:dyDescent="0.25">
      <c r="A22" t="s">
        <v>75</v>
      </c>
      <c r="B22" t="s">
        <v>62</v>
      </c>
      <c r="C22" t="s">
        <v>76</v>
      </c>
      <c r="D22" s="3">
        <v>1</v>
      </c>
      <c r="E22" s="3">
        <v>1</v>
      </c>
      <c r="F22" s="3">
        <v>0</v>
      </c>
      <c r="G22" t="s">
        <v>55</v>
      </c>
      <c r="H22" t="s">
        <v>77</v>
      </c>
      <c r="I22" t="s">
        <v>17</v>
      </c>
      <c r="J22" t="s">
        <v>78</v>
      </c>
    </row>
    <row r="23" spans="1:13" x14ac:dyDescent="0.25">
      <c r="A23" t="s">
        <v>79</v>
      </c>
      <c r="B23" t="s">
        <v>62</v>
      </c>
      <c r="C23" t="s">
        <v>80</v>
      </c>
      <c r="D23" s="3">
        <v>0</v>
      </c>
      <c r="E23" s="3">
        <v>0</v>
      </c>
      <c r="F23" s="3">
        <v>0</v>
      </c>
      <c r="G23" t="s">
        <v>55</v>
      </c>
      <c r="H23" t="s">
        <v>81</v>
      </c>
      <c r="I23" t="s">
        <v>17</v>
      </c>
      <c r="J23" t="s">
        <v>82</v>
      </c>
    </row>
    <row r="24" spans="1:13" x14ac:dyDescent="0.25"/>
    <row r="25" spans="1:13" x14ac:dyDescent="0.25">
      <c r="A25" t="s">
        <v>83</v>
      </c>
      <c r="B25" t="s">
        <v>84</v>
      </c>
      <c r="C25" t="s">
        <v>85</v>
      </c>
      <c r="D25" t="s">
        <v>86</v>
      </c>
      <c r="E25" t="s">
        <v>87</v>
      </c>
      <c r="F25" t="s">
        <v>88</v>
      </c>
      <c r="G25" t="s">
        <v>89</v>
      </c>
      <c r="H25" t="s">
        <v>90</v>
      </c>
      <c r="I25" t="s">
        <v>91</v>
      </c>
      <c r="J25" t="s">
        <v>92</v>
      </c>
      <c r="K25" t="s">
        <v>93</v>
      </c>
      <c r="L25" t="s">
        <v>94</v>
      </c>
      <c r="M25" t="s">
        <v>95</v>
      </c>
    </row>
    <row r="26" spans="1:13" x14ac:dyDescent="0.25">
      <c r="A26" t="s">
        <v>96</v>
      </c>
      <c r="B26" s="1">
        <v>45658</v>
      </c>
      <c r="C26" t="s">
        <v>97</v>
      </c>
      <c r="D26">
        <v>1</v>
      </c>
      <c r="E26" s="4">
        <v>2673730</v>
      </c>
      <c r="F26" s="4">
        <v>2751900</v>
      </c>
      <c r="G26" s="5">
        <v>483</v>
      </c>
      <c r="H26" s="4">
        <v>4610</v>
      </c>
      <c r="I26" s="4">
        <v>110300</v>
      </c>
      <c r="J26" s="5">
        <v>180</v>
      </c>
      <c r="K26" s="4">
        <v>-105690</v>
      </c>
      <c r="L26" s="5">
        <v>180</v>
      </c>
      <c r="M26" t="s">
        <v>17</v>
      </c>
    </row>
    <row r="27" spans="1:13" x14ac:dyDescent="0.25">
      <c r="A27" t="s">
        <v>98</v>
      </c>
      <c r="B27" s="1">
        <v>45689</v>
      </c>
      <c r="C27" t="s">
        <v>99</v>
      </c>
      <c r="D27">
        <v>2</v>
      </c>
      <c r="E27" s="4">
        <v>2563770</v>
      </c>
      <c r="F27" s="4">
        <v>2645400</v>
      </c>
      <c r="G27" s="5">
        <v>478</v>
      </c>
      <c r="H27" s="4">
        <v>-47690</v>
      </c>
      <c r="I27" s="4">
        <v>86600</v>
      </c>
      <c r="J27" s="5">
        <v>180</v>
      </c>
      <c r="K27" s="4">
        <v>-134290</v>
      </c>
      <c r="L27" s="5">
        <v>180</v>
      </c>
      <c r="M27" t="s">
        <v>17</v>
      </c>
    </row>
    <row r="28" spans="1:13" x14ac:dyDescent="0.25">
      <c r="A28" t="s">
        <v>100</v>
      </c>
      <c r="B28" s="1">
        <v>45717</v>
      </c>
      <c r="C28" t="s">
        <v>101</v>
      </c>
      <c r="D28">
        <v>3</v>
      </c>
      <c r="E28" s="4">
        <v>2819670</v>
      </c>
      <c r="F28" s="4">
        <v>2880100</v>
      </c>
      <c r="G28" s="5">
        <v>496</v>
      </c>
      <c r="H28" s="4">
        <v>64190</v>
      </c>
      <c r="I28" s="4">
        <v>144700</v>
      </c>
      <c r="J28" s="5">
        <v>180</v>
      </c>
      <c r="K28" s="4">
        <v>-80510</v>
      </c>
      <c r="L28" s="5">
        <v>180</v>
      </c>
      <c r="M28" t="s">
        <v>17</v>
      </c>
    </row>
    <row r="29" spans="1:13" x14ac:dyDescent="0.25">
      <c r="A29" t="s">
        <v>102</v>
      </c>
      <c r="B29" s="1">
        <v>45748</v>
      </c>
      <c r="C29" t="s">
        <v>103</v>
      </c>
      <c r="D29">
        <v>4</v>
      </c>
      <c r="E29" s="4">
        <v>2981380</v>
      </c>
      <c r="F29" s="4">
        <v>2983500</v>
      </c>
      <c r="G29" s="5">
        <v>492</v>
      </c>
      <c r="H29" s="4">
        <v>141040</v>
      </c>
      <c r="I29" s="4">
        <v>171500</v>
      </c>
      <c r="J29" s="5">
        <v>180</v>
      </c>
      <c r="K29" s="4">
        <v>-30460</v>
      </c>
      <c r="L29" s="5">
        <v>180</v>
      </c>
      <c r="M29" t="s">
        <v>17</v>
      </c>
    </row>
    <row r="30" spans="1:13" x14ac:dyDescent="0.25">
      <c r="A30" t="s">
        <v>104</v>
      </c>
      <c r="B30" s="1">
        <v>45778</v>
      </c>
      <c r="C30" t="s">
        <v>105</v>
      </c>
      <c r="D30">
        <v>5</v>
      </c>
      <c r="E30" s="4">
        <v>3077340</v>
      </c>
      <c r="F30" s="4">
        <v>3061300</v>
      </c>
      <c r="G30" s="5">
        <v>491</v>
      </c>
      <c r="H30" s="4">
        <v>206920</v>
      </c>
      <c r="I30" s="4">
        <v>191100</v>
      </c>
      <c r="J30" s="5">
        <v>180</v>
      </c>
      <c r="K30" s="4">
        <v>15820</v>
      </c>
      <c r="L30" s="5">
        <v>180</v>
      </c>
      <c r="M30" t="s">
        <v>17</v>
      </c>
    </row>
    <row r="31" spans="1:13" x14ac:dyDescent="0.25">
      <c r="A31" t="s">
        <v>106</v>
      </c>
      <c r="B31" s="1">
        <v>45809</v>
      </c>
      <c r="C31" t="s">
        <v>107</v>
      </c>
      <c r="D31">
        <v>6</v>
      </c>
      <c r="E31" s="4">
        <v>3225010</v>
      </c>
      <c r="F31" s="4">
        <v>3164600</v>
      </c>
      <c r="G31" s="5">
        <v>475</v>
      </c>
      <c r="H31" s="4">
        <v>282170</v>
      </c>
      <c r="I31" s="4">
        <v>218000</v>
      </c>
      <c r="J31" s="5">
        <v>180</v>
      </c>
      <c r="K31" s="4">
        <v>64170</v>
      </c>
      <c r="L31" s="5">
        <v>180</v>
      </c>
      <c r="M31" t="s">
        <v>17</v>
      </c>
    </row>
    <row r="32" spans="1:13" x14ac:dyDescent="0.25">
      <c r="A32" t="s">
        <v>108</v>
      </c>
      <c r="B32" s="1">
        <v>45839</v>
      </c>
      <c r="C32" t="s">
        <v>109</v>
      </c>
      <c r="D32">
        <v>7</v>
      </c>
      <c r="E32" s="4">
        <v>3112790</v>
      </c>
      <c r="F32" s="4">
        <v>3088000</v>
      </c>
      <c r="G32" s="5">
        <v>489</v>
      </c>
      <c r="H32" s="4">
        <v>169730</v>
      </c>
      <c r="I32" s="4">
        <v>197000</v>
      </c>
      <c r="J32" s="5">
        <v>180</v>
      </c>
      <c r="K32" s="4">
        <v>-27270</v>
      </c>
      <c r="L32" s="5">
        <v>180</v>
      </c>
      <c r="M32" t="s">
        <v>17</v>
      </c>
    </row>
    <row r="33" spans="1:13" x14ac:dyDescent="0.25">
      <c r="A33" t="s">
        <v>110</v>
      </c>
      <c r="B33" s="1">
        <v>45870</v>
      </c>
      <c r="C33" t="s">
        <v>111</v>
      </c>
      <c r="D33">
        <v>8</v>
      </c>
      <c r="E33" s="4">
        <v>3243590</v>
      </c>
      <c r="F33" s="4">
        <v>3136200</v>
      </c>
      <c r="G33" s="5">
        <v>484</v>
      </c>
      <c r="H33" s="4">
        <v>265110</v>
      </c>
      <c r="I33" s="4">
        <v>213800</v>
      </c>
      <c r="J33" s="5">
        <v>180</v>
      </c>
      <c r="K33" s="4">
        <v>51310</v>
      </c>
      <c r="L33" s="5">
        <v>180</v>
      </c>
      <c r="M33" t="s">
        <v>17</v>
      </c>
    </row>
    <row r="34" spans="1:13" x14ac:dyDescent="0.25">
      <c r="A34" t="s">
        <v>112</v>
      </c>
      <c r="B34" s="1">
        <v>45901</v>
      </c>
      <c r="C34" t="s">
        <v>113</v>
      </c>
      <c r="D34">
        <v>9</v>
      </c>
      <c r="E34" s="4">
        <v>3439500</v>
      </c>
      <c r="F34" s="4">
        <v>3218600</v>
      </c>
      <c r="G34" s="5">
        <v>478</v>
      </c>
      <c r="H34" s="4">
        <v>230260</v>
      </c>
      <c r="I34" s="4">
        <v>229000</v>
      </c>
      <c r="J34" s="5">
        <v>180</v>
      </c>
      <c r="K34" s="4">
        <v>1260</v>
      </c>
      <c r="L34" s="5">
        <v>180</v>
      </c>
      <c r="M34" t="s">
        <v>17</v>
      </c>
    </row>
    <row r="35" spans="1:13" x14ac:dyDescent="0.25">
      <c r="A35" t="s">
        <v>114</v>
      </c>
      <c r="B35" s="1">
        <v>45931</v>
      </c>
      <c r="C35" t="s">
        <v>115</v>
      </c>
      <c r="D35">
        <v>10</v>
      </c>
      <c r="E35" s="4">
        <v>3405740</v>
      </c>
      <c r="F35" s="4">
        <v>3242200</v>
      </c>
      <c r="G35" s="5">
        <v>492</v>
      </c>
      <c r="H35" s="4">
        <v>366800</v>
      </c>
      <c r="I35" s="4">
        <v>238200</v>
      </c>
      <c r="J35" s="5">
        <v>180</v>
      </c>
      <c r="K35" s="4">
        <v>128600</v>
      </c>
      <c r="L35" s="5">
        <v>180</v>
      </c>
      <c r="M35" t="s">
        <v>17</v>
      </c>
    </row>
    <row r="36" spans="1:13" x14ac:dyDescent="0.25">
      <c r="A36" t="s">
        <v>116</v>
      </c>
      <c r="B36" s="1">
        <v>45962</v>
      </c>
      <c r="C36" t="s">
        <v>117</v>
      </c>
      <c r="D36">
        <v>11</v>
      </c>
      <c r="E36" s="4">
        <v>3424290</v>
      </c>
      <c r="F36" s="4">
        <v>3316500</v>
      </c>
      <c r="G36" s="5">
        <v>486</v>
      </c>
      <c r="H36" s="4">
        <v>367470</v>
      </c>
      <c r="I36" s="4">
        <v>261300</v>
      </c>
      <c r="J36" s="5">
        <v>180</v>
      </c>
      <c r="K36" s="4">
        <v>106170</v>
      </c>
      <c r="L36" s="5">
        <v>180</v>
      </c>
      <c r="M36" t="s">
        <v>17</v>
      </c>
    </row>
    <row r="37" spans="1:13" x14ac:dyDescent="0.25">
      <c r="A37" t="s">
        <v>118</v>
      </c>
      <c r="B37" s="1">
        <v>45992</v>
      </c>
      <c r="C37" t="s">
        <v>119</v>
      </c>
      <c r="D37">
        <v>12</v>
      </c>
      <c r="E37" s="4">
        <v>3334680</v>
      </c>
      <c r="F37" s="4">
        <v>3242200</v>
      </c>
      <c r="G37" s="5">
        <v>484</v>
      </c>
      <c r="H37" s="4">
        <v>259980</v>
      </c>
      <c r="I37" s="4">
        <v>238200</v>
      </c>
      <c r="J37" s="5">
        <v>180</v>
      </c>
      <c r="K37" s="4">
        <v>21780</v>
      </c>
      <c r="L37" s="5">
        <v>180</v>
      </c>
      <c r="M37" t="s">
        <v>17</v>
      </c>
    </row>
    <row r="38" spans="1:13" x14ac:dyDescent="0.25"/>
  </sheetData>
  <conditionalFormatting sqref="I5:I23 M26:M37">
    <cfRule type="containsText" dxfId="36" priority="1" operator="containsText" text="REVIEW">
      <formula>NOT(ISERROR(SEARCH("REVIEW",I5)))</formula>
    </cfRule>
    <cfRule type="containsText" dxfId="35" priority="2" operator="containsText" text="PASS">
      <formula>NOT(ISERROR(SEARCH("PASS",I5)))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13E43-8F0A-413D-9B3D-6DCA379DC2A2}">
  <dimension ref="A1:AB40"/>
  <sheetViews>
    <sheetView showGridLines="0" tabSelected="1" zoomScale="90" zoomScaleNormal="90" workbookViewId="0">
      <pane ySplit="3" topLeftCell="A4" activePane="bottomLeft" state="frozen"/>
      <selection pane="bottomLeft"/>
    </sheetView>
  </sheetViews>
  <sheetFormatPr defaultColWidth="0" defaultRowHeight="15" zeroHeight="1" x14ac:dyDescent="0.25"/>
  <cols>
    <col min="1" max="1" width="12.5703125" bestFit="1" customWidth="1"/>
    <col min="2" max="2" width="17.7109375" bestFit="1" customWidth="1"/>
    <col min="3" max="3" width="14.5703125" bestFit="1" customWidth="1"/>
    <col min="4" max="4" width="19.5703125" bestFit="1" customWidth="1"/>
    <col min="5" max="5" width="16.7109375" bestFit="1" customWidth="1"/>
    <col min="6" max="6" width="17" bestFit="1" customWidth="1"/>
    <col min="7" max="7" width="16.85546875" bestFit="1" customWidth="1"/>
    <col min="8" max="8" width="17.5703125" bestFit="1" customWidth="1"/>
    <col min="9" max="9" width="19" bestFit="1" customWidth="1"/>
    <col min="10" max="10" width="19.7109375" bestFit="1" customWidth="1"/>
    <col min="11" max="11" width="20.42578125" bestFit="1" customWidth="1"/>
    <col min="12" max="12" width="21.85546875" bestFit="1" customWidth="1"/>
    <col min="13" max="13" width="19" bestFit="1" customWidth="1"/>
    <col min="14" max="14" width="19.85546875" bestFit="1" customWidth="1"/>
    <col min="15" max="15" width="21.28515625" bestFit="1" customWidth="1"/>
    <col min="16" max="16" width="26.42578125" bestFit="1" customWidth="1"/>
    <col min="17" max="17" width="27.140625" bestFit="1" customWidth="1"/>
    <col min="18" max="18" width="28.7109375" bestFit="1" customWidth="1"/>
    <col min="19" max="19" width="23" bestFit="1" customWidth="1"/>
    <col min="20" max="20" width="23.85546875" bestFit="1" customWidth="1"/>
    <col min="21" max="21" width="25.28515625" bestFit="1" customWidth="1"/>
    <col min="22" max="22" width="24.42578125" bestFit="1" customWidth="1"/>
    <col min="23" max="23" width="25.140625" bestFit="1" customWidth="1"/>
    <col min="24" max="24" width="26.5703125" bestFit="1" customWidth="1"/>
    <col min="25" max="25" width="22.85546875" bestFit="1" customWidth="1"/>
    <col min="26" max="26" width="24.7109375" bestFit="1" customWidth="1"/>
    <col min="27" max="27" width="25.85546875" bestFit="1" customWidth="1"/>
    <col min="28" max="28" width="28.85546875" bestFit="1" customWidth="1"/>
    <col min="29" max="16384" width="9.140625" hidden="1"/>
  </cols>
  <sheetData>
    <row r="1" spans="1:28" ht="23.25" x14ac:dyDescent="0.35">
      <c r="A1" s="2" t="s">
        <v>120</v>
      </c>
    </row>
    <row r="2" spans="1:28" x14ac:dyDescent="0.25">
      <c r="A2" t="s">
        <v>121</v>
      </c>
    </row>
    <row r="3" spans="1:28" x14ac:dyDescent="0.25"/>
    <row r="4" spans="1:28" x14ac:dyDescent="0.25">
      <c r="A4" s="9" t="s">
        <v>160</v>
      </c>
      <c r="B4" s="9"/>
      <c r="C4" s="9"/>
      <c r="D4" s="9" t="s">
        <v>161</v>
      </c>
      <c r="E4" s="9"/>
      <c r="F4" s="9"/>
      <c r="G4" s="9" t="s">
        <v>162</v>
      </c>
      <c r="H4" s="9"/>
      <c r="I4" s="9"/>
      <c r="J4" s="9" t="s">
        <v>163</v>
      </c>
      <c r="K4" s="9"/>
      <c r="L4" s="9"/>
      <c r="M4" s="9" t="s">
        <v>164</v>
      </c>
      <c r="N4" s="9"/>
      <c r="O4" s="9"/>
      <c r="P4" s="9" t="s">
        <v>165</v>
      </c>
      <c r="Q4" s="9"/>
      <c r="R4" s="9"/>
    </row>
    <row r="5" spans="1:28" x14ac:dyDescent="0.25">
      <c r="A5" s="10">
        <f>SUM(tbl_MonthlyPLSummary[ActualRevenue])</f>
        <v>19806040</v>
      </c>
      <c r="B5" s="10"/>
      <c r="C5" s="10"/>
      <c r="D5" s="10">
        <f>SUM(tbl_MonthlyPLSummary[BudgetRevenue])</f>
        <v>19515100</v>
      </c>
      <c r="E5" s="10"/>
      <c r="F5" s="10"/>
      <c r="G5" s="10">
        <f>SUM(tbl_MonthlyPLSummary[RevenueVariance])</f>
        <v>290940</v>
      </c>
      <c r="H5" s="10"/>
      <c r="I5" s="10"/>
      <c r="J5" s="10">
        <f>SUM(tbl_MonthlyPLSummary[ActualOperatingProfit])</f>
        <v>2310590</v>
      </c>
      <c r="K5" s="10"/>
      <c r="L5" s="10"/>
      <c r="M5" s="10">
        <f>SUM(tbl_MonthlyPLSummary[BudgetOperatingProfit])</f>
        <v>2299700</v>
      </c>
      <c r="N5" s="10"/>
      <c r="O5" s="10"/>
      <c r="P5" s="10">
        <f>SUM(tbl_MonthlyPLSummary[OperatingProfitVariance])</f>
        <v>10890</v>
      </c>
      <c r="Q5" s="10"/>
      <c r="R5" s="10"/>
    </row>
    <row r="6" spans="1:28" x14ac:dyDescent="0.25"/>
    <row r="7" spans="1:28" ht="20.25" thickBot="1" x14ac:dyDescent="0.35">
      <c r="A7" s="6" t="s">
        <v>122</v>
      </c>
    </row>
    <row r="8" spans="1:28" ht="15.75" thickTop="1" x14ac:dyDescent="0.25">
      <c r="A8" t="s">
        <v>83</v>
      </c>
      <c r="B8" t="s">
        <v>84</v>
      </c>
      <c r="C8" t="s">
        <v>85</v>
      </c>
      <c r="D8" t="s">
        <v>123</v>
      </c>
      <c r="E8" t="s">
        <v>86</v>
      </c>
      <c r="F8" t="s">
        <v>124</v>
      </c>
      <c r="G8" t="s">
        <v>125</v>
      </c>
      <c r="H8" t="s">
        <v>126</v>
      </c>
      <c r="I8" t="s">
        <v>127</v>
      </c>
      <c r="J8" t="s">
        <v>128</v>
      </c>
      <c r="K8" t="s">
        <v>129</v>
      </c>
      <c r="L8" t="s">
        <v>130</v>
      </c>
      <c r="M8" t="s">
        <v>131</v>
      </c>
      <c r="N8" t="s">
        <v>132</v>
      </c>
      <c r="O8" t="s">
        <v>133</v>
      </c>
      <c r="P8" t="s">
        <v>134</v>
      </c>
      <c r="Q8" t="s">
        <v>135</v>
      </c>
      <c r="R8" t="s">
        <v>136</v>
      </c>
      <c r="S8" t="s">
        <v>137</v>
      </c>
      <c r="T8" t="s">
        <v>138</v>
      </c>
      <c r="U8" t="s">
        <v>139</v>
      </c>
      <c r="V8" t="s">
        <v>140</v>
      </c>
      <c r="W8" t="s">
        <v>141</v>
      </c>
      <c r="X8" t="s">
        <v>142</v>
      </c>
      <c r="Y8" t="s">
        <v>143</v>
      </c>
      <c r="Z8" t="s">
        <v>89</v>
      </c>
      <c r="AA8" t="s">
        <v>144</v>
      </c>
      <c r="AB8" t="s">
        <v>145</v>
      </c>
    </row>
    <row r="9" spans="1:28" x14ac:dyDescent="0.25">
      <c r="A9" t="s">
        <v>96</v>
      </c>
      <c r="B9" s="1">
        <v>45658</v>
      </c>
      <c r="C9" t="s">
        <v>97</v>
      </c>
      <c r="D9" t="s">
        <v>146</v>
      </c>
      <c r="E9">
        <v>1</v>
      </c>
      <c r="F9">
        <v>202501</v>
      </c>
      <c r="G9" s="4">
        <v>1339170</v>
      </c>
      <c r="H9" s="4">
        <v>1431100</v>
      </c>
      <c r="I9" s="4">
        <v>-91930</v>
      </c>
      <c r="J9" s="4">
        <v>794600</v>
      </c>
      <c r="K9" s="4">
        <v>780500</v>
      </c>
      <c r="L9" s="4">
        <v>-14100</v>
      </c>
      <c r="M9" s="4">
        <v>544570</v>
      </c>
      <c r="N9" s="4">
        <v>650600</v>
      </c>
      <c r="O9" s="4">
        <v>-106030</v>
      </c>
      <c r="P9" s="4">
        <v>539960</v>
      </c>
      <c r="Q9" s="4">
        <v>540300</v>
      </c>
      <c r="R9" s="4">
        <v>340</v>
      </c>
      <c r="S9" s="4">
        <v>4610</v>
      </c>
      <c r="T9" s="4">
        <v>110300</v>
      </c>
      <c r="U9" s="4">
        <v>-105690</v>
      </c>
      <c r="V9" s="7">
        <v>3.44243075935094E-3</v>
      </c>
      <c r="W9" s="7">
        <v>7.7073579763817998E-2</v>
      </c>
      <c r="X9" s="7">
        <v>-7.36311490044671E-2</v>
      </c>
      <c r="Y9" t="s">
        <v>147</v>
      </c>
      <c r="Z9" s="8">
        <v>483</v>
      </c>
      <c r="AA9" s="8">
        <v>0</v>
      </c>
      <c r="AB9" t="s">
        <v>148</v>
      </c>
    </row>
    <row r="10" spans="1:28" x14ac:dyDescent="0.25">
      <c r="A10" t="s">
        <v>98</v>
      </c>
      <c r="B10" s="1">
        <v>45689</v>
      </c>
      <c r="C10" t="s">
        <v>99</v>
      </c>
      <c r="D10" t="s">
        <v>149</v>
      </c>
      <c r="E10">
        <v>2</v>
      </c>
      <c r="F10">
        <v>202502</v>
      </c>
      <c r="G10" s="4">
        <v>1258040</v>
      </c>
      <c r="H10" s="4">
        <v>1366000</v>
      </c>
      <c r="I10" s="4">
        <v>-107960</v>
      </c>
      <c r="J10" s="4">
        <v>775440</v>
      </c>
      <c r="K10" s="4">
        <v>745000</v>
      </c>
      <c r="L10" s="4">
        <v>-30440</v>
      </c>
      <c r="M10" s="4">
        <v>482600</v>
      </c>
      <c r="N10" s="4">
        <v>621000</v>
      </c>
      <c r="O10" s="4">
        <v>-138400</v>
      </c>
      <c r="P10" s="4">
        <v>530290</v>
      </c>
      <c r="Q10" s="4">
        <v>534400</v>
      </c>
      <c r="R10" s="4">
        <v>4110</v>
      </c>
      <c r="S10" s="4">
        <v>-47690</v>
      </c>
      <c r="T10" s="4">
        <v>86600</v>
      </c>
      <c r="U10" s="4">
        <v>-134290</v>
      </c>
      <c r="V10" s="7">
        <v>-3.79081746208388E-2</v>
      </c>
      <c r="W10" s="7">
        <v>6.3396778916544702E-2</v>
      </c>
      <c r="X10" s="7">
        <v>-0.101304953537384</v>
      </c>
      <c r="Y10" t="s">
        <v>147</v>
      </c>
      <c r="Z10" s="8">
        <v>478</v>
      </c>
      <c r="AA10" s="8">
        <v>0</v>
      </c>
      <c r="AB10" t="s">
        <v>148</v>
      </c>
    </row>
    <row r="11" spans="1:28" x14ac:dyDescent="0.25">
      <c r="A11" t="s">
        <v>100</v>
      </c>
      <c r="B11" s="1">
        <v>45717</v>
      </c>
      <c r="C11" t="s">
        <v>101</v>
      </c>
      <c r="D11" t="s">
        <v>150</v>
      </c>
      <c r="E11">
        <v>3</v>
      </c>
      <c r="F11">
        <v>202503</v>
      </c>
      <c r="G11" s="4">
        <v>1441930</v>
      </c>
      <c r="H11" s="4">
        <v>1512400</v>
      </c>
      <c r="I11" s="4">
        <v>-70470</v>
      </c>
      <c r="J11" s="4">
        <v>833800</v>
      </c>
      <c r="K11" s="4">
        <v>824900</v>
      </c>
      <c r="L11" s="4">
        <v>-8900</v>
      </c>
      <c r="M11" s="4">
        <v>608130</v>
      </c>
      <c r="N11" s="4">
        <v>687500</v>
      </c>
      <c r="O11" s="4">
        <v>-79370</v>
      </c>
      <c r="P11" s="4">
        <v>543940</v>
      </c>
      <c r="Q11" s="4">
        <v>542800</v>
      </c>
      <c r="R11" s="4">
        <v>-1140</v>
      </c>
      <c r="S11" s="4">
        <v>64190</v>
      </c>
      <c r="T11" s="4">
        <v>144700</v>
      </c>
      <c r="U11" s="4">
        <v>-80510</v>
      </c>
      <c r="V11" s="7">
        <v>4.4516724112821003E-2</v>
      </c>
      <c r="W11" s="7">
        <v>9.5675747156836799E-2</v>
      </c>
      <c r="X11" s="7">
        <v>-5.1159023044015803E-2</v>
      </c>
      <c r="Y11" t="s">
        <v>147</v>
      </c>
      <c r="Z11" s="8">
        <v>496</v>
      </c>
      <c r="AA11" s="8">
        <v>0</v>
      </c>
      <c r="AB11" t="s">
        <v>148</v>
      </c>
    </row>
    <row r="12" spans="1:28" x14ac:dyDescent="0.25">
      <c r="A12" t="s">
        <v>102</v>
      </c>
      <c r="B12" s="1">
        <v>45748</v>
      </c>
      <c r="C12" t="s">
        <v>103</v>
      </c>
      <c r="D12" t="s">
        <v>151</v>
      </c>
      <c r="E12">
        <v>4</v>
      </c>
      <c r="F12">
        <v>202504</v>
      </c>
      <c r="G12" s="4">
        <v>1561210</v>
      </c>
      <c r="H12" s="4">
        <v>1577500</v>
      </c>
      <c r="I12" s="4">
        <v>-16290</v>
      </c>
      <c r="J12" s="4">
        <v>862820</v>
      </c>
      <c r="K12" s="4">
        <v>860400</v>
      </c>
      <c r="L12" s="4">
        <v>-2420</v>
      </c>
      <c r="M12" s="4">
        <v>698390</v>
      </c>
      <c r="N12" s="4">
        <v>717100</v>
      </c>
      <c r="O12" s="4">
        <v>-18710</v>
      </c>
      <c r="P12" s="4">
        <v>557350</v>
      </c>
      <c r="Q12" s="4">
        <v>545600</v>
      </c>
      <c r="R12" s="4">
        <v>-11750</v>
      </c>
      <c r="S12" s="4">
        <v>141040</v>
      </c>
      <c r="T12" s="4">
        <v>171500</v>
      </c>
      <c r="U12" s="4">
        <v>-30460</v>
      </c>
      <c r="V12" s="7">
        <v>9.03401848566176E-2</v>
      </c>
      <c r="W12" s="7">
        <v>0.108716323296355</v>
      </c>
      <c r="X12" s="7">
        <v>-1.8376138439737399E-2</v>
      </c>
      <c r="Y12" t="s">
        <v>147</v>
      </c>
      <c r="Z12" s="8">
        <v>492</v>
      </c>
      <c r="AA12" s="8">
        <v>0</v>
      </c>
      <c r="AB12" t="s">
        <v>148</v>
      </c>
    </row>
    <row r="13" spans="1:28" x14ac:dyDescent="0.25">
      <c r="A13" t="s">
        <v>104</v>
      </c>
      <c r="B13" s="1">
        <v>45778</v>
      </c>
      <c r="C13" t="s">
        <v>105</v>
      </c>
      <c r="D13" t="s">
        <v>105</v>
      </c>
      <c r="E13">
        <v>5</v>
      </c>
      <c r="F13">
        <v>202505</v>
      </c>
      <c r="G13" s="4">
        <v>1642130</v>
      </c>
      <c r="H13" s="4">
        <v>1626200</v>
      </c>
      <c r="I13" s="4">
        <v>15930</v>
      </c>
      <c r="J13" s="4">
        <v>887200</v>
      </c>
      <c r="K13" s="4">
        <v>887000</v>
      </c>
      <c r="L13" s="4">
        <v>-200</v>
      </c>
      <c r="M13" s="4">
        <v>754930</v>
      </c>
      <c r="N13" s="4">
        <v>739200</v>
      </c>
      <c r="O13" s="4">
        <v>15730</v>
      </c>
      <c r="P13" s="4">
        <v>548010</v>
      </c>
      <c r="Q13" s="4">
        <v>548100</v>
      </c>
      <c r="R13" s="4">
        <v>90</v>
      </c>
      <c r="S13" s="4">
        <v>206920</v>
      </c>
      <c r="T13" s="4">
        <v>191100</v>
      </c>
      <c r="U13" s="4">
        <v>15820</v>
      </c>
      <c r="V13" s="7">
        <v>0.12600707617545501</v>
      </c>
      <c r="W13" s="7">
        <v>0.117513221006026</v>
      </c>
      <c r="X13" s="7">
        <v>8.4938551694290106E-3</v>
      </c>
      <c r="Y13" t="s">
        <v>152</v>
      </c>
      <c r="Z13" s="8">
        <v>491</v>
      </c>
      <c r="AA13" s="8">
        <v>0</v>
      </c>
      <c r="AB13" t="s">
        <v>148</v>
      </c>
    </row>
    <row r="14" spans="1:28" x14ac:dyDescent="0.25">
      <c r="A14" t="s">
        <v>106</v>
      </c>
      <c r="B14" s="1">
        <v>45809</v>
      </c>
      <c r="C14" t="s">
        <v>107</v>
      </c>
      <c r="D14" t="s">
        <v>153</v>
      </c>
      <c r="E14">
        <v>6</v>
      </c>
      <c r="F14">
        <v>202506</v>
      </c>
      <c r="G14" s="4">
        <v>1753590</v>
      </c>
      <c r="H14" s="4">
        <v>1691300</v>
      </c>
      <c r="I14" s="4">
        <v>62290</v>
      </c>
      <c r="J14" s="4">
        <v>922510</v>
      </c>
      <c r="K14" s="4">
        <v>922500</v>
      </c>
      <c r="L14" s="4">
        <v>-10</v>
      </c>
      <c r="M14" s="4">
        <v>831080</v>
      </c>
      <c r="N14" s="4">
        <v>768800</v>
      </c>
      <c r="O14" s="4">
        <v>62280</v>
      </c>
      <c r="P14" s="4">
        <v>548910</v>
      </c>
      <c r="Q14" s="4">
        <v>550800</v>
      </c>
      <c r="R14" s="4">
        <v>1890</v>
      </c>
      <c r="S14" s="4">
        <v>282170</v>
      </c>
      <c r="T14" s="4">
        <v>218000</v>
      </c>
      <c r="U14" s="4">
        <v>64170</v>
      </c>
      <c r="V14" s="7">
        <v>0.16090990482381901</v>
      </c>
      <c r="W14" s="7">
        <v>0.12889493289185799</v>
      </c>
      <c r="X14" s="7">
        <v>3.2014971931960998E-2</v>
      </c>
      <c r="Y14" t="s">
        <v>152</v>
      </c>
      <c r="Z14" s="8">
        <v>475</v>
      </c>
      <c r="AA14" s="8">
        <v>0</v>
      </c>
      <c r="AB14" t="s">
        <v>148</v>
      </c>
    </row>
    <row r="15" spans="1:28" x14ac:dyDescent="0.25">
      <c r="A15" t="s">
        <v>108</v>
      </c>
      <c r="B15" s="1">
        <v>45839</v>
      </c>
      <c r="C15" t="s">
        <v>109</v>
      </c>
      <c r="D15" t="s">
        <v>154</v>
      </c>
      <c r="E15">
        <v>7</v>
      </c>
      <c r="F15">
        <v>202507</v>
      </c>
      <c r="G15" s="4">
        <v>1641260</v>
      </c>
      <c r="H15" s="4">
        <v>1642500</v>
      </c>
      <c r="I15" s="4">
        <v>-1240</v>
      </c>
      <c r="J15" s="4">
        <v>919550</v>
      </c>
      <c r="K15" s="4">
        <v>895900</v>
      </c>
      <c r="L15" s="4">
        <v>-23650</v>
      </c>
      <c r="M15" s="4">
        <v>721710</v>
      </c>
      <c r="N15" s="4">
        <v>746600</v>
      </c>
      <c r="O15" s="4">
        <v>-24890</v>
      </c>
      <c r="P15" s="4">
        <v>551980</v>
      </c>
      <c r="Q15" s="4">
        <v>549600</v>
      </c>
      <c r="R15" s="4">
        <v>-2380</v>
      </c>
      <c r="S15" s="4">
        <v>169730</v>
      </c>
      <c r="T15" s="4">
        <v>197000</v>
      </c>
      <c r="U15" s="4">
        <v>-27270</v>
      </c>
      <c r="V15" s="7">
        <v>0.103414449873877</v>
      </c>
      <c r="W15" s="7">
        <v>0.119939117199391</v>
      </c>
      <c r="X15" s="7">
        <v>-1.6524667325514001E-2</v>
      </c>
      <c r="Y15" t="s">
        <v>147</v>
      </c>
      <c r="Z15" s="8">
        <v>489</v>
      </c>
      <c r="AA15" s="8">
        <v>0</v>
      </c>
      <c r="AB15" t="s">
        <v>148</v>
      </c>
    </row>
    <row r="16" spans="1:28" x14ac:dyDescent="0.25">
      <c r="A16" t="s">
        <v>110</v>
      </c>
      <c r="B16" s="1">
        <v>45870</v>
      </c>
      <c r="C16" t="s">
        <v>111</v>
      </c>
      <c r="D16" t="s">
        <v>155</v>
      </c>
      <c r="E16">
        <v>8</v>
      </c>
      <c r="F16">
        <v>202508</v>
      </c>
      <c r="G16" s="4">
        <v>1754350</v>
      </c>
      <c r="H16" s="4">
        <v>1675000</v>
      </c>
      <c r="I16" s="4">
        <v>79350</v>
      </c>
      <c r="J16" s="4">
        <v>930760</v>
      </c>
      <c r="K16" s="4">
        <v>913700</v>
      </c>
      <c r="L16" s="4">
        <v>-17060</v>
      </c>
      <c r="M16" s="4">
        <v>823590</v>
      </c>
      <c r="N16" s="4">
        <v>761300</v>
      </c>
      <c r="O16" s="4">
        <v>62290</v>
      </c>
      <c r="P16" s="4">
        <v>558480</v>
      </c>
      <c r="Q16" s="4">
        <v>547500</v>
      </c>
      <c r="R16" s="4">
        <v>-10980</v>
      </c>
      <c r="S16" s="4">
        <v>265110</v>
      </c>
      <c r="T16" s="4">
        <v>213800</v>
      </c>
      <c r="U16" s="4">
        <v>51310</v>
      </c>
      <c r="V16" s="7">
        <v>0.15111579787385601</v>
      </c>
      <c r="W16" s="7">
        <v>0.12764179104477599</v>
      </c>
      <c r="X16" s="7">
        <v>2.3474006829080001E-2</v>
      </c>
      <c r="Y16" t="s">
        <v>152</v>
      </c>
      <c r="Z16" s="8">
        <v>484</v>
      </c>
      <c r="AA16" s="8">
        <v>1</v>
      </c>
      <c r="AB16" t="s">
        <v>148</v>
      </c>
    </row>
    <row r="17" spans="1:28" x14ac:dyDescent="0.25">
      <c r="A17" t="s">
        <v>112</v>
      </c>
      <c r="B17" s="1">
        <v>45901</v>
      </c>
      <c r="C17" t="s">
        <v>113</v>
      </c>
      <c r="D17" t="s">
        <v>156</v>
      </c>
      <c r="E17">
        <v>9</v>
      </c>
      <c r="F17">
        <v>202509</v>
      </c>
      <c r="G17" s="4">
        <v>1834880</v>
      </c>
      <c r="H17" s="4">
        <v>1723800</v>
      </c>
      <c r="I17" s="4">
        <v>111080</v>
      </c>
      <c r="J17" s="4">
        <v>981520</v>
      </c>
      <c r="K17" s="4">
        <v>940300</v>
      </c>
      <c r="L17" s="4">
        <v>-41220</v>
      </c>
      <c r="M17" s="4">
        <v>853360</v>
      </c>
      <c r="N17" s="4">
        <v>783500</v>
      </c>
      <c r="O17" s="4">
        <v>69860</v>
      </c>
      <c r="P17" s="4">
        <v>623100</v>
      </c>
      <c r="Q17" s="4">
        <v>554500</v>
      </c>
      <c r="R17" s="4">
        <v>-68600</v>
      </c>
      <c r="S17" s="4">
        <v>230260</v>
      </c>
      <c r="T17" s="4">
        <v>229000</v>
      </c>
      <c r="U17" s="4">
        <v>1260</v>
      </c>
      <c r="V17" s="7">
        <v>0.12549049529124501</v>
      </c>
      <c r="W17" s="7">
        <v>0.132846037823413</v>
      </c>
      <c r="X17" s="7">
        <v>-7.3555425321680003E-3</v>
      </c>
      <c r="Y17" t="s">
        <v>152</v>
      </c>
      <c r="Z17" s="8">
        <v>478</v>
      </c>
      <c r="AA17" s="8">
        <v>0</v>
      </c>
      <c r="AB17" t="s">
        <v>148</v>
      </c>
    </row>
    <row r="18" spans="1:28" x14ac:dyDescent="0.25">
      <c r="A18" t="s">
        <v>114</v>
      </c>
      <c r="B18" s="1">
        <v>45931</v>
      </c>
      <c r="C18" t="s">
        <v>115</v>
      </c>
      <c r="D18" t="s">
        <v>157</v>
      </c>
      <c r="E18">
        <v>10</v>
      </c>
      <c r="F18">
        <v>202510</v>
      </c>
      <c r="G18" s="4">
        <v>1886270</v>
      </c>
      <c r="H18" s="4">
        <v>1740200</v>
      </c>
      <c r="I18" s="4">
        <v>146070</v>
      </c>
      <c r="J18" s="4">
        <v>961850</v>
      </c>
      <c r="K18" s="4">
        <v>949200</v>
      </c>
      <c r="L18" s="4">
        <v>-12650</v>
      </c>
      <c r="M18" s="4">
        <v>924420</v>
      </c>
      <c r="N18" s="4">
        <v>791000</v>
      </c>
      <c r="O18" s="4">
        <v>133420</v>
      </c>
      <c r="P18" s="4">
        <v>557620</v>
      </c>
      <c r="Q18" s="4">
        <v>552800</v>
      </c>
      <c r="R18" s="4">
        <v>-4820</v>
      </c>
      <c r="S18" s="4">
        <v>366800</v>
      </c>
      <c r="T18" s="4">
        <v>238200</v>
      </c>
      <c r="U18" s="4">
        <v>128600</v>
      </c>
      <c r="V18" s="7">
        <v>0.194457845377385</v>
      </c>
      <c r="W18" s="7">
        <v>0.136880818296748</v>
      </c>
      <c r="X18" s="7">
        <v>5.7577027080637E-2</v>
      </c>
      <c r="Y18" t="s">
        <v>152</v>
      </c>
      <c r="Z18" s="8">
        <v>492</v>
      </c>
      <c r="AA18" s="8">
        <v>0</v>
      </c>
      <c r="AB18" t="s">
        <v>148</v>
      </c>
    </row>
    <row r="19" spans="1:28" x14ac:dyDescent="0.25">
      <c r="A19" t="s">
        <v>116</v>
      </c>
      <c r="B19" s="1">
        <v>45962</v>
      </c>
      <c r="C19" t="s">
        <v>117</v>
      </c>
      <c r="D19" t="s">
        <v>158</v>
      </c>
      <c r="E19">
        <v>11</v>
      </c>
      <c r="F19">
        <v>202511</v>
      </c>
      <c r="G19" s="4">
        <v>1895880</v>
      </c>
      <c r="H19" s="4">
        <v>1788900</v>
      </c>
      <c r="I19" s="4">
        <v>106980</v>
      </c>
      <c r="J19" s="4">
        <v>971300</v>
      </c>
      <c r="K19" s="4">
        <v>975700</v>
      </c>
      <c r="L19" s="4">
        <v>4400</v>
      </c>
      <c r="M19" s="4">
        <v>924580</v>
      </c>
      <c r="N19" s="4">
        <v>813200</v>
      </c>
      <c r="O19" s="4">
        <v>111380</v>
      </c>
      <c r="P19" s="4">
        <v>557110</v>
      </c>
      <c r="Q19" s="4">
        <v>551900</v>
      </c>
      <c r="R19" s="4">
        <v>-5210</v>
      </c>
      <c r="S19" s="4">
        <v>367470</v>
      </c>
      <c r="T19" s="4">
        <v>261300</v>
      </c>
      <c r="U19" s="4">
        <v>106170</v>
      </c>
      <c r="V19" s="7">
        <v>0.193825558579657</v>
      </c>
      <c r="W19" s="7">
        <v>0.14606741573033699</v>
      </c>
      <c r="X19" s="7">
        <v>4.775814284932E-2</v>
      </c>
      <c r="Y19" t="s">
        <v>152</v>
      </c>
      <c r="Z19" s="8">
        <v>486</v>
      </c>
      <c r="AA19" s="8">
        <v>0</v>
      </c>
      <c r="AB19" t="s">
        <v>148</v>
      </c>
    </row>
    <row r="20" spans="1:28" x14ac:dyDescent="0.25">
      <c r="A20" t="s">
        <v>118</v>
      </c>
      <c r="B20" s="1">
        <v>45992</v>
      </c>
      <c r="C20" t="s">
        <v>119</v>
      </c>
      <c r="D20" t="s">
        <v>159</v>
      </c>
      <c r="E20">
        <v>12</v>
      </c>
      <c r="F20">
        <v>202512</v>
      </c>
      <c r="G20" s="4">
        <v>1797330</v>
      </c>
      <c r="H20" s="4">
        <v>1740200</v>
      </c>
      <c r="I20" s="4">
        <v>57130</v>
      </c>
      <c r="J20" s="4">
        <v>971790</v>
      </c>
      <c r="K20" s="4">
        <v>949200</v>
      </c>
      <c r="L20" s="4">
        <v>-22590</v>
      </c>
      <c r="M20" s="4">
        <v>825540</v>
      </c>
      <c r="N20" s="4">
        <v>791000</v>
      </c>
      <c r="O20" s="4">
        <v>34540</v>
      </c>
      <c r="P20" s="4">
        <v>565560</v>
      </c>
      <c r="Q20" s="4">
        <v>552800</v>
      </c>
      <c r="R20" s="4">
        <v>-12760</v>
      </c>
      <c r="S20" s="4">
        <v>259980</v>
      </c>
      <c r="T20" s="4">
        <v>238200</v>
      </c>
      <c r="U20" s="4">
        <v>21780</v>
      </c>
      <c r="V20" s="7">
        <v>0.14464789437665901</v>
      </c>
      <c r="W20" s="7">
        <v>0.136880818296748</v>
      </c>
      <c r="X20" s="7">
        <v>7.7670760799110096E-3</v>
      </c>
      <c r="Y20" t="s">
        <v>152</v>
      </c>
      <c r="Z20" s="8">
        <v>484</v>
      </c>
      <c r="AA20" s="8">
        <v>0</v>
      </c>
      <c r="AB20" t="s">
        <v>148</v>
      </c>
    </row>
    <row r="21" spans="1:28" x14ac:dyDescent="0.25"/>
    <row r="22" spans="1:28" x14ac:dyDescent="0.25"/>
    <row r="23" spans="1:28" x14ac:dyDescent="0.25"/>
    <row r="24" spans="1:28" x14ac:dyDescent="0.25"/>
    <row r="25" spans="1:28" x14ac:dyDescent="0.25"/>
    <row r="26" spans="1:28" x14ac:dyDescent="0.25"/>
    <row r="27" spans="1:28" x14ac:dyDescent="0.25"/>
    <row r="28" spans="1:28" x14ac:dyDescent="0.25"/>
    <row r="29" spans="1:28" x14ac:dyDescent="0.25"/>
    <row r="30" spans="1:28" x14ac:dyDescent="0.25"/>
    <row r="31" spans="1:28" x14ac:dyDescent="0.25"/>
    <row r="32" spans="1:28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</sheetData>
  <mergeCells count="12">
    <mergeCell ref="A4:C4"/>
    <mergeCell ref="A5:C5"/>
    <mergeCell ref="P4:R4"/>
    <mergeCell ref="P5:R5"/>
    <mergeCell ref="D4:F4"/>
    <mergeCell ref="D5:F5"/>
    <mergeCell ref="G4:I4"/>
    <mergeCell ref="G5:I5"/>
    <mergeCell ref="J4:L4"/>
    <mergeCell ref="J5:L5"/>
    <mergeCell ref="M4:O4"/>
    <mergeCell ref="M5:O5"/>
  </mergeCells>
  <conditionalFormatting sqref="G5:I5 P5:R5">
    <cfRule type="cellIs" dxfId="34" priority="13" operator="equal">
      <formula>0</formula>
    </cfRule>
    <cfRule type="cellIs" dxfId="33" priority="14" operator="lessThan">
      <formula>0</formula>
    </cfRule>
    <cfRule type="cellIs" dxfId="32" priority="15" operator="greaterThan">
      <formula>0</formula>
    </cfRule>
  </conditionalFormatting>
  <conditionalFormatting sqref="I9:I20 L9:L20 O9:O20 R9:R20 U9:U20">
    <cfRule type="cellIs" dxfId="31" priority="10" operator="equal">
      <formula>0</formula>
    </cfRule>
    <cfRule type="cellIs" dxfId="30" priority="11" operator="lessThan">
      <formula>0</formula>
    </cfRule>
    <cfRule type="cellIs" dxfId="29" priority="12" operator="greaterThan">
      <formula>0</formula>
    </cfRule>
  </conditionalFormatting>
  <conditionalFormatting sqref="Y9:Y20">
    <cfRule type="expression" dxfId="28" priority="3">
      <formula>$Y9="On Budget"</formula>
    </cfRule>
    <cfRule type="expression" dxfId="27" priority="4">
      <formula>$Y9="Unfavourable"</formula>
    </cfRule>
    <cfRule type="expression" dxfId="26" priority="5">
      <formula>$Y9="Favourable"</formula>
    </cfRule>
  </conditionalFormatting>
  <conditionalFormatting sqref="AB9:AB20">
    <cfRule type="expression" dxfId="25" priority="1">
      <formula>$AB9="Mismatch"</formula>
    </cfRule>
    <cfRule type="expression" dxfId="24" priority="2">
      <formula>$AB9="Match"</formula>
    </cfRule>
  </conditionalFormatting>
  <pageMargins left="0.7" right="0.7" top="0.75" bottom="0.75" header="0.3" footer="0.3"/>
  <ignoredErrors>
    <ignoredError sqref="G5" formula="1"/>
  </ignoredErrors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900DD-1022-43D6-8EE3-C34F7F5E1C2A}">
  <dimension ref="A1:X29"/>
  <sheetViews>
    <sheetView showGridLines="0" workbookViewId="0">
      <pane ySplit="3" topLeftCell="A6" activePane="bottomLeft" state="frozen"/>
      <selection pane="bottomLeft" activeCell="A6" sqref="A6"/>
    </sheetView>
  </sheetViews>
  <sheetFormatPr defaultColWidth="0" defaultRowHeight="15" zeroHeight="1" x14ac:dyDescent="0.25"/>
  <cols>
    <col min="1" max="1" width="11.140625" bestFit="1" customWidth="1"/>
    <col min="2" max="2" width="14.5703125" bestFit="1" customWidth="1"/>
    <col min="3" max="3" width="8" bestFit="1" customWidth="1"/>
    <col min="4" max="4" width="16.85546875" bestFit="1" customWidth="1"/>
    <col min="5" max="5" width="17.5703125" bestFit="1" customWidth="1"/>
    <col min="6" max="6" width="19.7109375" bestFit="1" customWidth="1"/>
    <col min="7" max="7" width="20.42578125" bestFit="1" customWidth="1"/>
    <col min="8" max="8" width="26.42578125" bestFit="1" customWidth="1"/>
    <col min="9" max="9" width="27.140625" bestFit="1" customWidth="1"/>
    <col min="10" max="10" width="24.7109375" bestFit="1" customWidth="1"/>
    <col min="11" max="11" width="25.85546875" bestFit="1" customWidth="1"/>
    <col min="12" max="12" width="19" bestFit="1" customWidth="1"/>
    <col min="13" max="13" width="21.85546875" bestFit="1" customWidth="1"/>
    <col min="14" max="14" width="19" bestFit="1" customWidth="1"/>
    <col min="15" max="15" width="19.85546875" bestFit="1" customWidth="1"/>
    <col min="16" max="16" width="22.5703125" bestFit="1" customWidth="1"/>
    <col min="17" max="17" width="28.7109375" bestFit="1" customWidth="1"/>
    <col min="18" max="18" width="23" bestFit="1" customWidth="1"/>
    <col min="19" max="19" width="23.85546875" bestFit="1" customWidth="1"/>
    <col min="20" max="20" width="25.28515625" bestFit="1" customWidth="1"/>
    <col min="21" max="21" width="24.42578125" bestFit="1" customWidth="1"/>
    <col min="22" max="22" width="25.140625" bestFit="1" customWidth="1"/>
    <col min="23" max="23" width="22.85546875" bestFit="1" customWidth="1"/>
    <col min="24" max="24" width="27.140625" bestFit="1" customWidth="1"/>
    <col min="25" max="16384" width="9.140625" hidden="1"/>
  </cols>
  <sheetData>
    <row r="1" spans="1:24" ht="23.25" x14ac:dyDescent="0.35">
      <c r="A1" s="2" t="s">
        <v>166</v>
      </c>
    </row>
    <row r="2" spans="1:24" x14ac:dyDescent="0.25">
      <c r="A2" t="s">
        <v>167</v>
      </c>
    </row>
    <row r="3" spans="1:24" x14ac:dyDescent="0.25"/>
    <row r="4" spans="1:24" x14ac:dyDescent="0.25"/>
    <row r="5" spans="1:24" ht="20.25" thickBot="1" x14ac:dyDescent="0.35">
      <c r="A5" s="6" t="s">
        <v>168</v>
      </c>
    </row>
    <row r="6" spans="1:24" ht="15.75" thickTop="1" x14ac:dyDescent="0.25">
      <c r="A6" t="s">
        <v>169</v>
      </c>
      <c r="B6" t="s">
        <v>170</v>
      </c>
      <c r="C6" t="s">
        <v>171</v>
      </c>
      <c r="D6" t="s">
        <v>125</v>
      </c>
      <c r="E6" t="s">
        <v>126</v>
      </c>
      <c r="F6" t="s">
        <v>128</v>
      </c>
      <c r="G6" t="s">
        <v>129</v>
      </c>
      <c r="H6" t="s">
        <v>134</v>
      </c>
      <c r="I6" t="s">
        <v>135</v>
      </c>
      <c r="J6" t="s">
        <v>89</v>
      </c>
      <c r="K6" t="s">
        <v>144</v>
      </c>
      <c r="L6" t="s">
        <v>127</v>
      </c>
      <c r="M6" t="s">
        <v>130</v>
      </c>
      <c r="N6" t="s">
        <v>131</v>
      </c>
      <c r="O6" t="s">
        <v>132</v>
      </c>
      <c r="P6" t="s">
        <v>172</v>
      </c>
      <c r="Q6" t="s">
        <v>136</v>
      </c>
      <c r="R6" t="s">
        <v>137</v>
      </c>
      <c r="S6" t="s">
        <v>138</v>
      </c>
      <c r="T6" t="s">
        <v>139</v>
      </c>
      <c r="U6" t="s">
        <v>140</v>
      </c>
      <c r="V6" t="s">
        <v>141</v>
      </c>
      <c r="W6" t="s">
        <v>143</v>
      </c>
      <c r="X6" t="s">
        <v>173</v>
      </c>
    </row>
    <row r="7" spans="1:24" x14ac:dyDescent="0.25">
      <c r="A7" t="s">
        <v>174</v>
      </c>
      <c r="B7" t="s">
        <v>175</v>
      </c>
      <c r="C7" t="s">
        <v>176</v>
      </c>
      <c r="D7" s="4">
        <v>6522120</v>
      </c>
      <c r="E7" s="4">
        <v>6336000</v>
      </c>
      <c r="F7" s="4">
        <v>3490390</v>
      </c>
      <c r="G7" s="4">
        <v>3456000</v>
      </c>
      <c r="H7" s="4">
        <v>2148780</v>
      </c>
      <c r="I7" s="4">
        <v>2133700</v>
      </c>
      <c r="J7" s="5">
        <v>1458</v>
      </c>
      <c r="K7" s="5">
        <v>0</v>
      </c>
      <c r="L7" s="5">
        <v>186120</v>
      </c>
      <c r="M7" s="5">
        <v>-34390</v>
      </c>
      <c r="N7" s="4">
        <v>3031730</v>
      </c>
      <c r="O7" s="4">
        <v>2880000</v>
      </c>
      <c r="P7" s="5">
        <v>151730</v>
      </c>
      <c r="Q7" s="5">
        <v>-15080</v>
      </c>
      <c r="R7" s="4">
        <v>882950</v>
      </c>
      <c r="S7" s="4">
        <v>746300</v>
      </c>
      <c r="T7" s="5">
        <v>136650</v>
      </c>
      <c r="U7" s="12">
        <v>0.13537776060544732</v>
      </c>
      <c r="V7" s="12">
        <v>0.11778724747474748</v>
      </c>
      <c r="W7" t="s">
        <v>152</v>
      </c>
      <c r="X7" t="s">
        <v>148</v>
      </c>
    </row>
    <row r="8" spans="1:24" x14ac:dyDescent="0.25">
      <c r="A8" t="s">
        <v>177</v>
      </c>
      <c r="B8" t="s">
        <v>178</v>
      </c>
      <c r="C8" t="s">
        <v>179</v>
      </c>
      <c r="D8" s="4">
        <v>3570510</v>
      </c>
      <c r="E8" s="4">
        <v>3675000</v>
      </c>
      <c r="F8" s="4">
        <v>2021940</v>
      </c>
      <c r="G8" s="4">
        <v>2004500</v>
      </c>
      <c r="H8" s="4">
        <v>1247870</v>
      </c>
      <c r="I8" s="4">
        <v>1238700</v>
      </c>
      <c r="J8" s="5">
        <v>1459</v>
      </c>
      <c r="K8" s="5">
        <v>0</v>
      </c>
      <c r="L8" s="5">
        <v>-104490</v>
      </c>
      <c r="M8" s="5">
        <v>-17440</v>
      </c>
      <c r="N8" s="4">
        <v>1548570</v>
      </c>
      <c r="O8" s="4">
        <v>1670500</v>
      </c>
      <c r="P8" s="5">
        <v>-121930</v>
      </c>
      <c r="Q8" s="5">
        <v>-9170</v>
      </c>
      <c r="R8" s="4">
        <v>300700</v>
      </c>
      <c r="S8" s="4">
        <v>431800</v>
      </c>
      <c r="T8" s="5">
        <v>-131100</v>
      </c>
      <c r="U8" s="12">
        <v>8.4217660782353224E-2</v>
      </c>
      <c r="V8" s="12">
        <v>0.11749659863945579</v>
      </c>
      <c r="W8" t="s">
        <v>147</v>
      </c>
      <c r="X8" t="s">
        <v>148</v>
      </c>
    </row>
    <row r="9" spans="1:24" x14ac:dyDescent="0.25">
      <c r="A9" t="s">
        <v>180</v>
      </c>
      <c r="B9" t="s">
        <v>181</v>
      </c>
      <c r="C9" t="s">
        <v>182</v>
      </c>
      <c r="D9" s="4">
        <v>5155500</v>
      </c>
      <c r="E9" s="4">
        <v>4942100</v>
      </c>
      <c r="F9" s="4">
        <v>2726630</v>
      </c>
      <c r="G9" s="4">
        <v>2695500</v>
      </c>
      <c r="H9" s="4">
        <v>1678540</v>
      </c>
      <c r="I9" s="4">
        <v>1666900</v>
      </c>
      <c r="J9" s="5">
        <v>1470</v>
      </c>
      <c r="K9" s="5">
        <v>0</v>
      </c>
      <c r="L9" s="5">
        <v>213400</v>
      </c>
      <c r="M9" s="5">
        <v>-31130</v>
      </c>
      <c r="N9" s="4">
        <v>2428870</v>
      </c>
      <c r="O9" s="4">
        <v>2246600</v>
      </c>
      <c r="P9" s="5">
        <v>182270</v>
      </c>
      <c r="Q9" s="5">
        <v>-11640</v>
      </c>
      <c r="R9" s="4">
        <v>750330</v>
      </c>
      <c r="S9" s="4">
        <v>579700</v>
      </c>
      <c r="T9" s="5">
        <v>170630</v>
      </c>
      <c r="U9" s="12">
        <v>0.1455397148676171</v>
      </c>
      <c r="V9" s="12">
        <v>0.11729831448169806</v>
      </c>
      <c r="W9" t="s">
        <v>152</v>
      </c>
      <c r="X9" t="s">
        <v>148</v>
      </c>
    </row>
    <row r="10" spans="1:24" x14ac:dyDescent="0.25">
      <c r="A10" t="s">
        <v>183</v>
      </c>
      <c r="B10" t="s">
        <v>184</v>
      </c>
      <c r="C10" t="s">
        <v>185</v>
      </c>
      <c r="D10" s="4">
        <v>4557910</v>
      </c>
      <c r="E10" s="4">
        <v>4562000</v>
      </c>
      <c r="F10" s="4">
        <v>2574180</v>
      </c>
      <c r="G10" s="4">
        <v>2488300</v>
      </c>
      <c r="H10" s="4">
        <v>1607120</v>
      </c>
      <c r="I10" s="4">
        <v>1531800</v>
      </c>
      <c r="J10" s="5">
        <v>1441</v>
      </c>
      <c r="K10" s="5">
        <v>1</v>
      </c>
      <c r="L10" s="5">
        <v>-4090</v>
      </c>
      <c r="M10" s="5">
        <v>-85880</v>
      </c>
      <c r="N10" s="4">
        <v>1983730</v>
      </c>
      <c r="O10" s="4">
        <v>2073700</v>
      </c>
      <c r="P10" s="5">
        <v>-89970</v>
      </c>
      <c r="Q10" s="5">
        <v>-75320</v>
      </c>
      <c r="R10" s="4">
        <v>376610</v>
      </c>
      <c r="S10" s="4">
        <v>541900</v>
      </c>
      <c r="T10" s="5">
        <v>-165290</v>
      </c>
      <c r="U10" s="12">
        <v>8.2627783348069625E-2</v>
      </c>
      <c r="V10" s="12">
        <v>0.11878562034195528</v>
      </c>
      <c r="W10" t="s">
        <v>147</v>
      </c>
      <c r="X10" t="s">
        <v>148</v>
      </c>
    </row>
    <row r="11" spans="1:24" x14ac:dyDescent="0.25"/>
    <row r="12" spans="1:24" x14ac:dyDescent="0.25"/>
    <row r="13" spans="1:24" x14ac:dyDescent="0.25"/>
    <row r="14" spans="1:24" x14ac:dyDescent="0.25"/>
    <row r="15" spans="1:24" x14ac:dyDescent="0.25"/>
    <row r="16" spans="1:24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</sheetData>
  <conditionalFormatting sqref="W7:W10">
    <cfRule type="expression" dxfId="23" priority="6">
      <formula>$W7="Favourable"</formula>
    </cfRule>
    <cfRule type="expression" dxfId="22" priority="7">
      <formula>$W7="Unfavourable"</formula>
    </cfRule>
  </conditionalFormatting>
  <conditionalFormatting sqref="X7:X10">
    <cfRule type="expression" dxfId="21" priority="4">
      <formula>$X7="Mismatch"</formula>
    </cfRule>
    <cfRule type="expression" dxfId="20" priority="5">
      <formula>$X7="Match"</formula>
    </cfRule>
  </conditionalFormatting>
  <conditionalFormatting sqref="T7:T10 P7:Q10 L7:M10">
    <cfRule type="cellIs" dxfId="19" priority="1" operator="equal">
      <formula>0</formula>
    </cfRule>
    <cfRule type="cellIs" dxfId="18" priority="2" operator="lessThan">
      <formula>0</formula>
    </cfRule>
    <cfRule type="cellIs" dxfId="17" priority="3" operator="greaterThan">
      <formula>0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17541-EED6-4BC4-AFF1-C4ABA0AB5A49}">
  <dimension ref="A1:X29"/>
  <sheetViews>
    <sheetView showGridLines="0" workbookViewId="0">
      <pane ySplit="3" topLeftCell="A6" activePane="bottomLeft" state="frozen"/>
      <selection pane="bottomLeft" activeCell="A6" sqref="A6"/>
    </sheetView>
  </sheetViews>
  <sheetFormatPr defaultColWidth="0" defaultRowHeight="15" zeroHeight="1" x14ac:dyDescent="0.25"/>
  <cols>
    <col min="1" max="1" width="16" bestFit="1" customWidth="1"/>
    <col min="2" max="2" width="28.28515625" bestFit="1" customWidth="1"/>
    <col min="3" max="3" width="22.140625" bestFit="1" customWidth="1"/>
    <col min="4" max="4" width="16.85546875" bestFit="1" customWidth="1"/>
    <col min="5" max="5" width="17.5703125" bestFit="1" customWidth="1"/>
    <col min="6" max="6" width="19.7109375" bestFit="1" customWidth="1"/>
    <col min="7" max="7" width="20.42578125" bestFit="1" customWidth="1"/>
    <col min="8" max="8" width="26.42578125" bestFit="1" customWidth="1"/>
    <col min="9" max="9" width="27.140625" bestFit="1" customWidth="1"/>
    <col min="10" max="10" width="24.7109375" bestFit="1" customWidth="1"/>
    <col min="11" max="11" width="25.85546875" bestFit="1" customWidth="1"/>
    <col min="12" max="12" width="19" bestFit="1" customWidth="1"/>
    <col min="13" max="13" width="21.85546875" bestFit="1" customWidth="1"/>
    <col min="14" max="14" width="19" bestFit="1" customWidth="1"/>
    <col min="15" max="15" width="19.85546875" bestFit="1" customWidth="1"/>
    <col min="16" max="16" width="21.28515625" bestFit="1" customWidth="1"/>
    <col min="17" max="17" width="28.7109375" bestFit="1" customWidth="1"/>
    <col min="18" max="18" width="23" bestFit="1" customWidth="1"/>
    <col min="19" max="19" width="23.85546875" bestFit="1" customWidth="1"/>
    <col min="20" max="20" width="25.28515625" bestFit="1" customWidth="1"/>
    <col min="21" max="21" width="24.42578125" bestFit="1" customWidth="1"/>
    <col min="22" max="22" width="25.140625" bestFit="1" customWidth="1"/>
    <col min="23" max="23" width="22.85546875" bestFit="1" customWidth="1"/>
    <col min="24" max="24" width="32.140625" bestFit="1" customWidth="1"/>
    <col min="25" max="16384" width="9.140625" hidden="1"/>
  </cols>
  <sheetData>
    <row r="1" spans="1:24" ht="23.25" x14ac:dyDescent="0.35">
      <c r="A1" s="2" t="s">
        <v>186</v>
      </c>
    </row>
    <row r="2" spans="1:24" x14ac:dyDescent="0.25">
      <c r="A2" t="s">
        <v>187</v>
      </c>
    </row>
    <row r="3" spans="1:24" x14ac:dyDescent="0.25"/>
    <row r="4" spans="1:24" x14ac:dyDescent="0.25"/>
    <row r="5" spans="1:24" ht="20.25" thickBot="1" x14ac:dyDescent="0.35">
      <c r="A5" s="6" t="s">
        <v>188</v>
      </c>
    </row>
    <row r="6" spans="1:24" ht="15.75" thickTop="1" x14ac:dyDescent="0.25">
      <c r="A6" t="s">
        <v>189</v>
      </c>
      <c r="B6" t="s">
        <v>190</v>
      </c>
      <c r="C6" t="s">
        <v>191</v>
      </c>
      <c r="D6" t="s">
        <v>125</v>
      </c>
      <c r="E6" t="s">
        <v>126</v>
      </c>
      <c r="F6" t="s">
        <v>128</v>
      </c>
      <c r="G6" t="s">
        <v>129</v>
      </c>
      <c r="H6" t="s">
        <v>134</v>
      </c>
      <c r="I6" t="s">
        <v>135</v>
      </c>
      <c r="J6" t="s">
        <v>89</v>
      </c>
      <c r="K6" t="s">
        <v>144</v>
      </c>
      <c r="L6" t="s">
        <v>127</v>
      </c>
      <c r="M6" t="s">
        <v>130</v>
      </c>
      <c r="N6" t="s">
        <v>131</v>
      </c>
      <c r="O6" t="s">
        <v>132</v>
      </c>
      <c r="P6" t="s">
        <v>133</v>
      </c>
      <c r="Q6" t="s">
        <v>136</v>
      </c>
      <c r="R6" t="s">
        <v>137</v>
      </c>
      <c r="S6" t="s">
        <v>138</v>
      </c>
      <c r="T6" t="s">
        <v>139</v>
      </c>
      <c r="U6" t="s">
        <v>140</v>
      </c>
      <c r="V6" t="s">
        <v>141</v>
      </c>
      <c r="W6" t="s">
        <v>143</v>
      </c>
      <c r="X6" t="s">
        <v>192</v>
      </c>
    </row>
    <row r="7" spans="1:24" x14ac:dyDescent="0.25">
      <c r="A7" t="s">
        <v>193</v>
      </c>
      <c r="B7" t="s">
        <v>194</v>
      </c>
      <c r="C7" t="s">
        <v>195</v>
      </c>
      <c r="D7" s="4">
        <v>19806040</v>
      </c>
      <c r="E7" s="4">
        <v>19515100</v>
      </c>
      <c r="F7" s="4">
        <v>8997520</v>
      </c>
      <c r="G7" s="4">
        <v>8870400</v>
      </c>
      <c r="H7" s="4">
        <v>1575150</v>
      </c>
      <c r="I7" s="4">
        <v>1560400</v>
      </c>
      <c r="J7" s="5">
        <v>2644</v>
      </c>
      <c r="K7" s="5">
        <v>0</v>
      </c>
      <c r="L7" s="5">
        <v>290940</v>
      </c>
      <c r="M7" s="5">
        <v>-127120</v>
      </c>
      <c r="N7" s="4">
        <v>10808520</v>
      </c>
      <c r="O7" s="4">
        <v>10644700</v>
      </c>
      <c r="P7" s="5">
        <v>163820</v>
      </c>
      <c r="Q7" s="5">
        <v>-14750</v>
      </c>
      <c r="R7" s="4">
        <v>9233370</v>
      </c>
      <c r="S7" s="4">
        <v>9084300</v>
      </c>
      <c r="T7" s="5">
        <v>149070</v>
      </c>
      <c r="U7" s="7">
        <v>0.46618960680681248</v>
      </c>
      <c r="V7" s="7">
        <v>0.46550107352767855</v>
      </c>
      <c r="W7" t="s">
        <v>152</v>
      </c>
      <c r="X7" t="s">
        <v>148</v>
      </c>
    </row>
    <row r="8" spans="1:24" x14ac:dyDescent="0.25">
      <c r="A8" t="s">
        <v>196</v>
      </c>
      <c r="B8" t="s">
        <v>197</v>
      </c>
      <c r="C8" t="s">
        <v>198</v>
      </c>
      <c r="D8" s="4">
        <v>0</v>
      </c>
      <c r="E8" s="4">
        <v>0</v>
      </c>
      <c r="F8" s="4">
        <v>1815620</v>
      </c>
      <c r="G8" s="4">
        <v>1773900</v>
      </c>
      <c r="H8" s="4">
        <v>1981440</v>
      </c>
      <c r="I8" s="4">
        <v>1905800</v>
      </c>
      <c r="J8" s="5">
        <v>1112</v>
      </c>
      <c r="K8" s="5">
        <v>1</v>
      </c>
      <c r="L8" s="5">
        <v>0</v>
      </c>
      <c r="M8" s="5">
        <v>-41720</v>
      </c>
      <c r="N8" s="4">
        <v>-1815620</v>
      </c>
      <c r="O8" s="4">
        <v>-1773900</v>
      </c>
      <c r="P8" s="5">
        <v>-41720</v>
      </c>
      <c r="Q8" s="5">
        <v>-75640</v>
      </c>
      <c r="R8" s="4">
        <v>-3797060</v>
      </c>
      <c r="S8" s="4">
        <v>-3679700</v>
      </c>
      <c r="T8" s="5">
        <v>-117360</v>
      </c>
      <c r="U8" s="7"/>
      <c r="V8" s="7"/>
      <c r="W8" t="s">
        <v>147</v>
      </c>
      <c r="X8" t="s">
        <v>148</v>
      </c>
    </row>
    <row r="9" spans="1:24" x14ac:dyDescent="0.25">
      <c r="A9" t="s">
        <v>199</v>
      </c>
      <c r="B9" t="s">
        <v>200</v>
      </c>
      <c r="C9" t="s">
        <v>201</v>
      </c>
      <c r="D9" s="4">
        <v>0</v>
      </c>
      <c r="E9" s="4">
        <v>0</v>
      </c>
      <c r="F9" s="4">
        <v>0</v>
      </c>
      <c r="G9" s="4">
        <v>0</v>
      </c>
      <c r="H9" s="4">
        <v>2113900</v>
      </c>
      <c r="I9" s="4">
        <v>2098900</v>
      </c>
      <c r="J9" s="5">
        <v>1224</v>
      </c>
      <c r="K9" s="5">
        <v>0</v>
      </c>
      <c r="L9" s="5">
        <v>0</v>
      </c>
      <c r="M9" s="5">
        <v>0</v>
      </c>
      <c r="N9" s="4">
        <v>0</v>
      </c>
      <c r="O9" s="4">
        <v>0</v>
      </c>
      <c r="P9" s="5">
        <v>0</v>
      </c>
      <c r="Q9" s="5">
        <v>-15000</v>
      </c>
      <c r="R9" s="4">
        <v>-2113900</v>
      </c>
      <c r="S9" s="4">
        <v>-2098900</v>
      </c>
      <c r="T9" s="5">
        <v>-15000</v>
      </c>
      <c r="U9" s="7"/>
      <c r="V9" s="7"/>
      <c r="W9" t="s">
        <v>147</v>
      </c>
      <c r="X9" t="s">
        <v>148</v>
      </c>
    </row>
    <row r="10" spans="1:24" x14ac:dyDescent="0.25">
      <c r="A10" t="s">
        <v>202</v>
      </c>
      <c r="B10" t="s">
        <v>203</v>
      </c>
      <c r="C10" t="s">
        <v>201</v>
      </c>
      <c r="D10" s="4">
        <v>0</v>
      </c>
      <c r="E10" s="4">
        <v>0</v>
      </c>
      <c r="F10" s="4">
        <v>0</v>
      </c>
      <c r="G10" s="4">
        <v>0</v>
      </c>
      <c r="H10" s="4">
        <v>1011820</v>
      </c>
      <c r="I10" s="4">
        <v>1006000</v>
      </c>
      <c r="J10" s="5">
        <v>848</v>
      </c>
      <c r="K10" s="5">
        <v>0</v>
      </c>
      <c r="L10" s="5">
        <v>0</v>
      </c>
      <c r="M10" s="5">
        <v>0</v>
      </c>
      <c r="N10" s="4">
        <v>0</v>
      </c>
      <c r="O10" s="4">
        <v>0</v>
      </c>
      <c r="P10" s="5">
        <v>0</v>
      </c>
      <c r="Q10" s="5">
        <v>-5820</v>
      </c>
      <c r="R10" s="4">
        <v>-1011820</v>
      </c>
      <c r="S10" s="4">
        <v>-1006000</v>
      </c>
      <c r="T10" s="5">
        <v>-5820</v>
      </c>
      <c r="U10" s="7"/>
      <c r="V10" s="7"/>
      <c r="W10" t="s">
        <v>147</v>
      </c>
      <c r="X10" t="s">
        <v>148</v>
      </c>
    </row>
    <row r="11" spans="1:24" x14ac:dyDescent="0.25"/>
    <row r="12" spans="1:24" x14ac:dyDescent="0.25"/>
    <row r="13" spans="1:24" x14ac:dyDescent="0.25"/>
    <row r="14" spans="1:24" x14ac:dyDescent="0.25"/>
    <row r="15" spans="1:24" x14ac:dyDescent="0.25"/>
    <row r="16" spans="1:24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</sheetData>
  <conditionalFormatting sqref="L7:M10 P7:Q10 T7:T10">
    <cfRule type="cellIs" dxfId="16" priority="5" operator="equal">
      <formula>0</formula>
    </cfRule>
    <cfRule type="cellIs" dxfId="15" priority="6" operator="lessThan">
      <formula>0</formula>
    </cfRule>
    <cfRule type="cellIs" dxfId="14" priority="7" operator="greaterThan">
      <formula>0</formula>
    </cfRule>
  </conditionalFormatting>
  <conditionalFormatting sqref="W7:W10">
    <cfRule type="expression" dxfId="13" priority="3">
      <formula>$W7="Unfavourable"</formula>
    </cfRule>
    <cfRule type="expression" dxfId="12" priority="4">
      <formula>$W7="Favourable"</formula>
    </cfRule>
  </conditionalFormatting>
  <conditionalFormatting sqref="X7:X10">
    <cfRule type="expression" dxfId="11" priority="1">
      <formula>$X7="Mismatch"</formula>
    </cfRule>
    <cfRule type="expression" dxfId="10" priority="2">
      <formula>$X7="Match"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611FF-8503-4C89-A0A1-968A764CD94E}">
  <dimension ref="A1:X56"/>
  <sheetViews>
    <sheetView showGridLines="0" zoomScaleNormal="100" workbookViewId="0">
      <pane ySplit="4" topLeftCell="A38" activePane="bottomLeft" state="frozen"/>
      <selection pane="bottomLeft" activeCell="A30" sqref="A30"/>
    </sheetView>
  </sheetViews>
  <sheetFormatPr defaultColWidth="0" defaultRowHeight="15" zeroHeight="1" x14ac:dyDescent="0.25"/>
  <cols>
    <col min="1" max="1" width="15" bestFit="1" customWidth="1"/>
    <col min="2" max="2" width="31.5703125" bestFit="1" customWidth="1"/>
    <col min="3" max="3" width="19.28515625" bestFit="1" customWidth="1"/>
    <col min="4" max="4" width="23" bestFit="1" customWidth="1"/>
    <col min="5" max="5" width="24.5703125" bestFit="1" customWidth="1"/>
    <col min="6" max="6" width="16.7109375" bestFit="1" customWidth="1"/>
    <col min="7" max="7" width="21" bestFit="1" customWidth="1"/>
    <col min="8" max="8" width="24" bestFit="1" customWidth="1"/>
    <col min="9" max="9" width="16.85546875" bestFit="1" customWidth="1"/>
    <col min="10" max="10" width="24.7109375" bestFit="1" customWidth="1"/>
    <col min="11" max="11" width="25.85546875" bestFit="1" customWidth="1"/>
    <col min="12" max="12" width="21.140625" bestFit="1" customWidth="1"/>
    <col min="13" max="13" width="21.28515625" bestFit="1" customWidth="1"/>
    <col min="14" max="14" width="21" bestFit="1" customWidth="1"/>
    <col min="15" max="15" width="24" bestFit="1" customWidth="1"/>
    <col min="16" max="16" width="3.7109375" hidden="1" customWidth="1"/>
    <col min="17" max="17" width="15" hidden="1" customWidth="1"/>
    <col min="18" max="18" width="25.5703125" hidden="1" customWidth="1"/>
    <col min="19" max="19" width="19.28515625" hidden="1" customWidth="1"/>
    <col min="20" max="20" width="16.140625" hidden="1" customWidth="1"/>
    <col min="21" max="21" width="16.85546875" hidden="1" customWidth="1"/>
    <col min="22" max="22" width="21.140625" hidden="1" customWidth="1"/>
    <col min="23" max="23" width="21" hidden="1" customWidth="1"/>
    <col min="24" max="24" width="24" hidden="1" customWidth="1"/>
    <col min="25" max="16384" width="9.140625" hidden="1"/>
  </cols>
  <sheetData>
    <row r="1" spans="1:15" ht="23.25" x14ac:dyDescent="0.35">
      <c r="A1" s="2" t="s">
        <v>204</v>
      </c>
    </row>
    <row r="2" spans="1:15" x14ac:dyDescent="0.25">
      <c r="A2" t="s">
        <v>205</v>
      </c>
    </row>
    <row r="3" spans="1:15" x14ac:dyDescent="0.25"/>
    <row r="4" spans="1:15" x14ac:dyDescent="0.25"/>
    <row r="5" spans="1:15" ht="20.25" thickBot="1" x14ac:dyDescent="0.35">
      <c r="A5" s="6" t="s">
        <v>206</v>
      </c>
    </row>
    <row r="6" spans="1:15" ht="15.75" thickTop="1" x14ac:dyDescent="0.25">
      <c r="A6" t="s">
        <v>208</v>
      </c>
      <c r="B6" t="s">
        <v>209</v>
      </c>
      <c r="C6" t="s">
        <v>210</v>
      </c>
      <c r="D6" t="s">
        <v>211</v>
      </c>
      <c r="E6" t="s">
        <v>212</v>
      </c>
      <c r="F6" t="s">
        <v>213</v>
      </c>
      <c r="G6" t="s">
        <v>214</v>
      </c>
      <c r="H6" t="s">
        <v>215</v>
      </c>
      <c r="I6" t="s">
        <v>216</v>
      </c>
      <c r="J6" t="s">
        <v>89</v>
      </c>
      <c r="K6" t="s">
        <v>144</v>
      </c>
      <c r="L6" t="s">
        <v>217</v>
      </c>
      <c r="M6" t="s">
        <v>218</v>
      </c>
      <c r="N6" t="s">
        <v>219</v>
      </c>
      <c r="O6" t="s">
        <v>220</v>
      </c>
    </row>
    <row r="7" spans="1:15" x14ac:dyDescent="0.25">
      <c r="A7" t="s">
        <v>221</v>
      </c>
      <c r="B7" t="s">
        <v>222</v>
      </c>
      <c r="C7" t="s">
        <v>223</v>
      </c>
      <c r="D7">
        <v>2</v>
      </c>
      <c r="E7" t="s">
        <v>224</v>
      </c>
      <c r="F7" t="s">
        <v>225</v>
      </c>
      <c r="G7" t="s">
        <v>226</v>
      </c>
      <c r="H7" s="4">
        <v>8997520</v>
      </c>
      <c r="I7" s="4">
        <v>8870400</v>
      </c>
      <c r="J7" s="5">
        <v>413</v>
      </c>
      <c r="K7" s="5">
        <v>0</v>
      </c>
      <c r="L7" s="5">
        <v>-127120</v>
      </c>
      <c r="M7" s="12">
        <v>-1.4330808080808081E-2</v>
      </c>
      <c r="N7" s="5">
        <v>127120</v>
      </c>
      <c r="O7" t="s">
        <v>147</v>
      </c>
    </row>
    <row r="8" spans="1:15" x14ac:dyDescent="0.25">
      <c r="A8" t="s">
        <v>227</v>
      </c>
      <c r="B8" t="s">
        <v>228</v>
      </c>
      <c r="C8" t="s">
        <v>223</v>
      </c>
      <c r="D8">
        <v>2</v>
      </c>
      <c r="E8" t="s">
        <v>229</v>
      </c>
      <c r="F8" t="s">
        <v>225</v>
      </c>
      <c r="G8" t="s">
        <v>230</v>
      </c>
      <c r="H8" s="4">
        <v>1815620</v>
      </c>
      <c r="I8" s="4">
        <v>1773900</v>
      </c>
      <c r="J8" s="5">
        <v>239</v>
      </c>
      <c r="K8" s="5">
        <v>0</v>
      </c>
      <c r="L8" s="5">
        <v>-41720</v>
      </c>
      <c r="M8" s="12">
        <v>-2.351880038333615E-2</v>
      </c>
      <c r="N8" s="5">
        <v>41720</v>
      </c>
      <c r="O8" t="s">
        <v>147</v>
      </c>
    </row>
    <row r="9" spans="1:15" x14ac:dyDescent="0.25">
      <c r="A9" t="s">
        <v>231</v>
      </c>
      <c r="B9" t="s">
        <v>232</v>
      </c>
      <c r="C9" t="s">
        <v>233</v>
      </c>
      <c r="D9">
        <v>3</v>
      </c>
      <c r="E9" t="s">
        <v>234</v>
      </c>
      <c r="F9" t="s">
        <v>225</v>
      </c>
      <c r="G9" t="s">
        <v>235</v>
      </c>
      <c r="H9" s="4">
        <v>304860</v>
      </c>
      <c r="I9" s="4">
        <v>295500</v>
      </c>
      <c r="J9" s="5">
        <v>142</v>
      </c>
      <c r="K9" s="5">
        <v>0</v>
      </c>
      <c r="L9" s="5">
        <v>-9360</v>
      </c>
      <c r="M9" s="12">
        <v>-3.16751269035533E-2</v>
      </c>
      <c r="N9" s="5">
        <v>9360</v>
      </c>
      <c r="O9" t="s">
        <v>147</v>
      </c>
    </row>
    <row r="10" spans="1:15" x14ac:dyDescent="0.25">
      <c r="A10" t="s">
        <v>236</v>
      </c>
      <c r="B10" t="s">
        <v>237</v>
      </c>
      <c r="C10" t="s">
        <v>233</v>
      </c>
      <c r="D10">
        <v>3</v>
      </c>
      <c r="E10" t="s">
        <v>238</v>
      </c>
      <c r="F10" t="s">
        <v>225</v>
      </c>
      <c r="G10" t="s">
        <v>239</v>
      </c>
      <c r="H10" s="4">
        <v>450370</v>
      </c>
      <c r="I10" s="4">
        <v>443200</v>
      </c>
      <c r="J10" s="5">
        <v>473</v>
      </c>
      <c r="K10" s="5">
        <v>0</v>
      </c>
      <c r="L10" s="5">
        <v>-7170</v>
      </c>
      <c r="M10" s="12">
        <v>-1.6177797833935019E-2</v>
      </c>
      <c r="N10" s="5">
        <v>7170</v>
      </c>
      <c r="O10" t="s">
        <v>147</v>
      </c>
    </row>
    <row r="11" spans="1:15" x14ac:dyDescent="0.25">
      <c r="A11" t="s">
        <v>240</v>
      </c>
      <c r="B11" t="s">
        <v>241</v>
      </c>
      <c r="C11" t="s">
        <v>233</v>
      </c>
      <c r="D11">
        <v>3</v>
      </c>
      <c r="E11" t="s">
        <v>242</v>
      </c>
      <c r="F11" t="s">
        <v>225</v>
      </c>
      <c r="G11" t="s">
        <v>243</v>
      </c>
      <c r="H11" s="4">
        <v>378270</v>
      </c>
      <c r="I11" s="4">
        <v>309700</v>
      </c>
      <c r="J11" s="5">
        <v>280</v>
      </c>
      <c r="K11" s="5">
        <v>1</v>
      </c>
      <c r="L11" s="5">
        <v>-68570</v>
      </c>
      <c r="M11" s="12">
        <v>-0.22140781401356152</v>
      </c>
      <c r="N11" s="5">
        <v>68570</v>
      </c>
      <c r="O11" t="s">
        <v>147</v>
      </c>
    </row>
    <row r="12" spans="1:15" x14ac:dyDescent="0.25">
      <c r="A12" t="s">
        <v>244</v>
      </c>
      <c r="B12" t="s">
        <v>245</v>
      </c>
      <c r="C12" t="s">
        <v>233</v>
      </c>
      <c r="D12">
        <v>3</v>
      </c>
      <c r="E12" t="s">
        <v>246</v>
      </c>
      <c r="F12" t="s">
        <v>225</v>
      </c>
      <c r="G12" t="s">
        <v>247</v>
      </c>
      <c r="H12" s="4">
        <v>257410</v>
      </c>
      <c r="I12" s="4">
        <v>253200</v>
      </c>
      <c r="J12" s="5">
        <v>287</v>
      </c>
      <c r="K12" s="5">
        <v>0</v>
      </c>
      <c r="L12" s="5">
        <v>-4210</v>
      </c>
      <c r="M12" s="12">
        <v>-1.6627172195892576E-2</v>
      </c>
      <c r="N12" s="5">
        <v>4210</v>
      </c>
      <c r="O12" t="s">
        <v>147</v>
      </c>
    </row>
    <row r="13" spans="1:15" x14ac:dyDescent="0.25">
      <c r="A13" t="s">
        <v>248</v>
      </c>
      <c r="B13" t="s">
        <v>249</v>
      </c>
      <c r="C13" t="s">
        <v>233</v>
      </c>
      <c r="D13">
        <v>3</v>
      </c>
      <c r="E13" t="s">
        <v>250</v>
      </c>
      <c r="F13" t="s">
        <v>225</v>
      </c>
      <c r="G13" t="s">
        <v>251</v>
      </c>
      <c r="H13" s="4">
        <v>146000</v>
      </c>
      <c r="I13" s="4">
        <v>143800</v>
      </c>
      <c r="J13" s="5">
        <v>483</v>
      </c>
      <c r="K13" s="5">
        <v>0</v>
      </c>
      <c r="L13" s="5">
        <v>-2200</v>
      </c>
      <c r="M13" s="12">
        <v>-1.5299026425591099E-2</v>
      </c>
      <c r="N13" s="5">
        <v>2200</v>
      </c>
      <c r="O13" t="s">
        <v>147</v>
      </c>
    </row>
    <row r="14" spans="1:15" x14ac:dyDescent="0.25">
      <c r="A14" t="s">
        <v>252</v>
      </c>
      <c r="B14" t="s">
        <v>253</v>
      </c>
      <c r="C14" t="s">
        <v>233</v>
      </c>
      <c r="D14">
        <v>3</v>
      </c>
      <c r="E14" t="s">
        <v>250</v>
      </c>
      <c r="F14" t="s">
        <v>225</v>
      </c>
      <c r="G14" t="s">
        <v>254</v>
      </c>
      <c r="H14" s="4">
        <v>189850</v>
      </c>
      <c r="I14" s="4">
        <v>184800</v>
      </c>
      <c r="J14" s="5">
        <v>143</v>
      </c>
      <c r="K14" s="5">
        <v>0</v>
      </c>
      <c r="L14" s="5">
        <v>-5050</v>
      </c>
      <c r="M14" s="12">
        <v>-2.7326839826839828E-2</v>
      </c>
      <c r="N14" s="5">
        <v>5050</v>
      </c>
      <c r="O14" t="s">
        <v>147</v>
      </c>
    </row>
    <row r="15" spans="1:15" x14ac:dyDescent="0.25">
      <c r="A15" t="s">
        <v>255</v>
      </c>
      <c r="B15" t="s">
        <v>256</v>
      </c>
      <c r="C15" t="s">
        <v>233</v>
      </c>
      <c r="D15">
        <v>3</v>
      </c>
      <c r="E15" t="s">
        <v>250</v>
      </c>
      <c r="F15" t="s">
        <v>225</v>
      </c>
      <c r="G15" t="s">
        <v>257</v>
      </c>
      <c r="H15" s="4">
        <v>113180</v>
      </c>
      <c r="I15" s="4">
        <v>111600</v>
      </c>
      <c r="J15" s="5">
        <v>96</v>
      </c>
      <c r="K15" s="5">
        <v>0</v>
      </c>
      <c r="L15" s="5">
        <v>-1580</v>
      </c>
      <c r="M15" s="12">
        <v>-1.4157706093189963E-2</v>
      </c>
      <c r="N15" s="5">
        <v>1580</v>
      </c>
      <c r="O15" t="s">
        <v>147</v>
      </c>
    </row>
    <row r="16" spans="1:15" x14ac:dyDescent="0.25">
      <c r="A16" t="s">
        <v>258</v>
      </c>
      <c r="B16" t="s">
        <v>259</v>
      </c>
      <c r="C16" t="s">
        <v>233</v>
      </c>
      <c r="D16">
        <v>3</v>
      </c>
      <c r="E16" t="s">
        <v>260</v>
      </c>
      <c r="F16" t="s">
        <v>225</v>
      </c>
      <c r="G16" t="s">
        <v>261</v>
      </c>
      <c r="H16" s="4">
        <v>131050</v>
      </c>
      <c r="I16" s="4">
        <v>129100</v>
      </c>
      <c r="J16" s="5">
        <v>288</v>
      </c>
      <c r="K16" s="5">
        <v>0</v>
      </c>
      <c r="L16" s="5">
        <v>-1950</v>
      </c>
      <c r="M16" s="12">
        <v>-1.5104570100697134E-2</v>
      </c>
      <c r="N16" s="5">
        <v>1950</v>
      </c>
      <c r="O16" t="s">
        <v>147</v>
      </c>
    </row>
    <row r="17" spans="1:15" x14ac:dyDescent="0.25">
      <c r="A17" t="s">
        <v>262</v>
      </c>
      <c r="B17" t="s">
        <v>263</v>
      </c>
      <c r="C17" t="s">
        <v>233</v>
      </c>
      <c r="D17">
        <v>3</v>
      </c>
      <c r="E17" t="s">
        <v>234</v>
      </c>
      <c r="F17" t="s">
        <v>225</v>
      </c>
      <c r="G17" t="s">
        <v>264</v>
      </c>
      <c r="H17" s="4">
        <v>227650</v>
      </c>
      <c r="I17" s="4">
        <v>221900</v>
      </c>
      <c r="J17" s="5">
        <v>564</v>
      </c>
      <c r="K17" s="5">
        <v>0</v>
      </c>
      <c r="L17" s="5">
        <v>-5750</v>
      </c>
      <c r="M17" s="12">
        <v>-2.5912573231185218E-2</v>
      </c>
      <c r="N17" s="5">
        <v>5750</v>
      </c>
      <c r="O17" t="s">
        <v>147</v>
      </c>
    </row>
    <row r="18" spans="1:15" x14ac:dyDescent="0.25">
      <c r="A18" t="s">
        <v>265</v>
      </c>
      <c r="B18" t="s">
        <v>266</v>
      </c>
      <c r="C18" t="s">
        <v>233</v>
      </c>
      <c r="D18">
        <v>3</v>
      </c>
      <c r="E18" t="s">
        <v>267</v>
      </c>
      <c r="F18" t="s">
        <v>225</v>
      </c>
      <c r="G18" t="s">
        <v>268</v>
      </c>
      <c r="H18" s="4">
        <v>36510</v>
      </c>
      <c r="I18" s="4">
        <v>36000</v>
      </c>
      <c r="J18" s="5">
        <v>236</v>
      </c>
      <c r="K18" s="5">
        <v>0</v>
      </c>
      <c r="L18" s="5">
        <v>-510</v>
      </c>
      <c r="M18" s="12">
        <v>-1.4166666666666666E-2</v>
      </c>
      <c r="N18" s="5">
        <v>510</v>
      </c>
      <c r="O18" t="s">
        <v>147</v>
      </c>
    </row>
    <row r="19" spans="1:15" x14ac:dyDescent="0.25">
      <c r="A19" t="s">
        <v>269</v>
      </c>
      <c r="B19" t="s">
        <v>270</v>
      </c>
      <c r="C19" t="s">
        <v>233</v>
      </c>
      <c r="D19">
        <v>3</v>
      </c>
      <c r="E19" t="s">
        <v>271</v>
      </c>
      <c r="F19" t="s">
        <v>225</v>
      </c>
      <c r="G19" t="s">
        <v>272</v>
      </c>
      <c r="H19" s="4">
        <v>259020</v>
      </c>
      <c r="I19" s="4">
        <v>259200</v>
      </c>
      <c r="J19" s="5">
        <v>48</v>
      </c>
      <c r="K19" s="5">
        <v>0</v>
      </c>
      <c r="L19" s="5">
        <v>180</v>
      </c>
      <c r="M19" s="12">
        <v>6.9444444444444447E-4</v>
      </c>
      <c r="N19" s="5">
        <v>180</v>
      </c>
      <c r="O19" t="s">
        <v>152</v>
      </c>
    </row>
    <row r="20" spans="1:15" x14ac:dyDescent="0.25">
      <c r="A20" t="s">
        <v>273</v>
      </c>
      <c r="B20" t="s">
        <v>274</v>
      </c>
      <c r="C20" t="s">
        <v>233</v>
      </c>
      <c r="D20">
        <v>3</v>
      </c>
      <c r="E20" t="s">
        <v>275</v>
      </c>
      <c r="F20" t="s">
        <v>225</v>
      </c>
      <c r="G20" t="s">
        <v>276</v>
      </c>
      <c r="H20" s="4">
        <v>63210</v>
      </c>
      <c r="I20" s="4">
        <v>62300</v>
      </c>
      <c r="J20" s="5">
        <v>231</v>
      </c>
      <c r="K20" s="5">
        <v>0</v>
      </c>
      <c r="L20" s="5">
        <v>-910</v>
      </c>
      <c r="M20" s="12">
        <v>-1.4606741573033709E-2</v>
      </c>
      <c r="N20" s="5">
        <v>910</v>
      </c>
      <c r="O20" t="s">
        <v>147</v>
      </c>
    </row>
    <row r="21" spans="1:15" x14ac:dyDescent="0.25">
      <c r="A21" t="s">
        <v>277</v>
      </c>
      <c r="B21" t="s">
        <v>278</v>
      </c>
      <c r="C21" t="s">
        <v>233</v>
      </c>
      <c r="D21">
        <v>3</v>
      </c>
      <c r="E21" t="s">
        <v>260</v>
      </c>
      <c r="F21" t="s">
        <v>225</v>
      </c>
      <c r="G21" t="s">
        <v>279</v>
      </c>
      <c r="H21" s="4">
        <v>2881030</v>
      </c>
      <c r="I21" s="4">
        <v>2882400</v>
      </c>
      <c r="J21" s="5">
        <v>192</v>
      </c>
      <c r="K21" s="5">
        <v>0</v>
      </c>
      <c r="L21" s="5">
        <v>1370</v>
      </c>
      <c r="M21" s="12">
        <v>4.7529836247571467E-4</v>
      </c>
      <c r="N21" s="5">
        <v>1370</v>
      </c>
      <c r="O21" t="s">
        <v>152</v>
      </c>
    </row>
    <row r="22" spans="1:15" x14ac:dyDescent="0.25">
      <c r="A22" t="s">
        <v>280</v>
      </c>
      <c r="B22" t="s">
        <v>281</v>
      </c>
      <c r="C22" t="s">
        <v>233</v>
      </c>
      <c r="D22">
        <v>3</v>
      </c>
      <c r="E22" t="s">
        <v>260</v>
      </c>
      <c r="F22" t="s">
        <v>225</v>
      </c>
      <c r="G22" t="s">
        <v>282</v>
      </c>
      <c r="H22" s="4">
        <v>518480</v>
      </c>
      <c r="I22" s="4">
        <v>518400</v>
      </c>
      <c r="J22" s="5">
        <v>192</v>
      </c>
      <c r="K22" s="5">
        <v>0</v>
      </c>
      <c r="L22" s="5">
        <v>-80</v>
      </c>
      <c r="M22" s="12">
        <v>-1.5432098765432098E-4</v>
      </c>
      <c r="N22" s="5">
        <v>80</v>
      </c>
      <c r="O22" t="s">
        <v>147</v>
      </c>
    </row>
    <row r="23" spans="1:15" x14ac:dyDescent="0.25">
      <c r="A23" t="s">
        <v>283</v>
      </c>
      <c r="B23" t="s">
        <v>284</v>
      </c>
      <c r="C23" t="s">
        <v>233</v>
      </c>
      <c r="D23">
        <v>3</v>
      </c>
      <c r="E23" t="s">
        <v>285</v>
      </c>
      <c r="F23" t="s">
        <v>225</v>
      </c>
      <c r="G23" t="s">
        <v>286</v>
      </c>
      <c r="H23" s="4">
        <v>557460</v>
      </c>
      <c r="I23" s="4">
        <v>554400</v>
      </c>
      <c r="J23" s="5">
        <v>48</v>
      </c>
      <c r="K23" s="5">
        <v>0</v>
      </c>
      <c r="L23" s="5">
        <v>-3060</v>
      </c>
      <c r="M23" s="12">
        <v>-5.5194805194805196E-3</v>
      </c>
      <c r="N23" s="5">
        <v>3060</v>
      </c>
      <c r="O23" t="s">
        <v>147</v>
      </c>
    </row>
    <row r="24" spans="1:15" x14ac:dyDescent="0.25">
      <c r="A24" t="s">
        <v>287</v>
      </c>
      <c r="B24" t="s">
        <v>288</v>
      </c>
      <c r="C24" t="s">
        <v>233</v>
      </c>
      <c r="D24">
        <v>3</v>
      </c>
      <c r="E24" t="s">
        <v>285</v>
      </c>
      <c r="F24" t="s">
        <v>225</v>
      </c>
      <c r="G24" t="s">
        <v>289</v>
      </c>
      <c r="H24" s="4">
        <v>167960</v>
      </c>
      <c r="I24" s="4">
        <v>165600</v>
      </c>
      <c r="J24" s="5">
        <v>124</v>
      </c>
      <c r="K24" s="5">
        <v>0</v>
      </c>
      <c r="L24" s="5">
        <v>-2360</v>
      </c>
      <c r="M24" s="12">
        <v>-1.4251207729468598E-2</v>
      </c>
      <c r="N24" s="5">
        <v>2360</v>
      </c>
      <c r="O24" t="s">
        <v>147</v>
      </c>
    </row>
    <row r="25" spans="1:15" x14ac:dyDescent="0.25">
      <c r="A25" t="s">
        <v>290</v>
      </c>
      <c r="B25" t="s">
        <v>291</v>
      </c>
      <c r="C25" t="s">
        <v>292</v>
      </c>
      <c r="D25">
        <v>1</v>
      </c>
      <c r="E25" t="s">
        <v>293</v>
      </c>
      <c r="F25" t="s">
        <v>292</v>
      </c>
      <c r="G25" t="s">
        <v>294</v>
      </c>
      <c r="H25" s="4">
        <v>14936820</v>
      </c>
      <c r="I25" s="4">
        <v>14784000</v>
      </c>
      <c r="J25" s="5">
        <v>800</v>
      </c>
      <c r="K25" s="5">
        <v>0</v>
      </c>
      <c r="L25" s="5">
        <v>152820</v>
      </c>
      <c r="M25" s="12">
        <v>1.0336850649350649E-2</v>
      </c>
      <c r="N25" s="5">
        <v>152820</v>
      </c>
      <c r="O25" t="s">
        <v>152</v>
      </c>
    </row>
    <row r="26" spans="1:15" x14ac:dyDescent="0.25">
      <c r="A26" t="s">
        <v>295</v>
      </c>
      <c r="B26" t="s">
        <v>296</v>
      </c>
      <c r="C26" t="s">
        <v>292</v>
      </c>
      <c r="D26">
        <v>1</v>
      </c>
      <c r="E26" t="s">
        <v>296</v>
      </c>
      <c r="F26" t="s">
        <v>292</v>
      </c>
      <c r="G26" t="s">
        <v>297</v>
      </c>
      <c r="H26" s="4">
        <v>4571910</v>
      </c>
      <c r="I26" s="4">
        <v>4435300</v>
      </c>
      <c r="J26" s="5">
        <v>424</v>
      </c>
      <c r="K26" s="5">
        <v>0</v>
      </c>
      <c r="L26" s="5">
        <v>136610</v>
      </c>
      <c r="M26" s="12">
        <v>3.0800622280341802E-2</v>
      </c>
      <c r="N26" s="5">
        <v>136610</v>
      </c>
      <c r="O26" t="s">
        <v>152</v>
      </c>
    </row>
    <row r="27" spans="1:15" x14ac:dyDescent="0.25">
      <c r="A27" t="s">
        <v>298</v>
      </c>
      <c r="B27" t="s">
        <v>299</v>
      </c>
      <c r="C27" t="s">
        <v>292</v>
      </c>
      <c r="D27">
        <v>1</v>
      </c>
      <c r="E27" t="s">
        <v>300</v>
      </c>
      <c r="F27" t="s">
        <v>292</v>
      </c>
      <c r="G27" t="s">
        <v>301</v>
      </c>
      <c r="H27" s="4">
        <v>297310</v>
      </c>
      <c r="I27" s="4">
        <v>295800</v>
      </c>
      <c r="J27" s="5">
        <v>125</v>
      </c>
      <c r="K27" s="5">
        <v>0</v>
      </c>
      <c r="L27" s="5">
        <v>1510</v>
      </c>
      <c r="M27" s="12">
        <v>5.1048005409060175E-3</v>
      </c>
      <c r="N27" s="5">
        <v>1510</v>
      </c>
      <c r="O27" t="s">
        <v>152</v>
      </c>
    </row>
    <row r="28" spans="1:15" x14ac:dyDescent="0.25"/>
    <row r="29" spans="1:15" ht="20.25" thickBot="1" x14ac:dyDescent="0.35">
      <c r="A29" s="6" t="s">
        <v>207</v>
      </c>
    </row>
    <row r="30" spans="1:15" ht="15.75" thickTop="1" x14ac:dyDescent="0.25">
      <c r="A30" t="s">
        <v>208</v>
      </c>
      <c r="B30" t="s">
        <v>209</v>
      </c>
      <c r="C30" t="s">
        <v>210</v>
      </c>
      <c r="D30" t="s">
        <v>215</v>
      </c>
      <c r="E30" t="s">
        <v>216</v>
      </c>
      <c r="F30" t="s">
        <v>217</v>
      </c>
      <c r="G30" t="s">
        <v>219</v>
      </c>
      <c r="H30" t="s">
        <v>220</v>
      </c>
    </row>
    <row r="31" spans="1:15" x14ac:dyDescent="0.25">
      <c r="A31" t="s">
        <v>290</v>
      </c>
      <c r="B31" t="s">
        <v>291</v>
      </c>
      <c r="C31" t="s">
        <v>292</v>
      </c>
      <c r="D31" s="4">
        <v>14936820</v>
      </c>
      <c r="E31" s="4">
        <v>14784000</v>
      </c>
      <c r="F31" s="5">
        <v>152820</v>
      </c>
      <c r="G31" s="5">
        <v>152820</v>
      </c>
      <c r="H31" t="s">
        <v>152</v>
      </c>
    </row>
    <row r="32" spans="1:15" x14ac:dyDescent="0.25">
      <c r="A32" t="s">
        <v>295</v>
      </c>
      <c r="B32" t="s">
        <v>296</v>
      </c>
      <c r="C32" t="s">
        <v>292</v>
      </c>
      <c r="D32" s="4">
        <v>4571910</v>
      </c>
      <c r="E32" s="4">
        <v>4435300</v>
      </c>
      <c r="F32" s="5">
        <v>136610</v>
      </c>
      <c r="G32" s="5">
        <v>136610</v>
      </c>
      <c r="H32" t="s">
        <v>152</v>
      </c>
    </row>
    <row r="33" spans="1:8" x14ac:dyDescent="0.25">
      <c r="A33" t="s">
        <v>221</v>
      </c>
      <c r="B33" t="s">
        <v>222</v>
      </c>
      <c r="C33" t="s">
        <v>223</v>
      </c>
      <c r="D33" s="4">
        <v>8997520</v>
      </c>
      <c r="E33" s="4">
        <v>8870400</v>
      </c>
      <c r="F33" s="5">
        <v>-127120</v>
      </c>
      <c r="G33" s="5">
        <v>127120</v>
      </c>
      <c r="H33" t="s">
        <v>147</v>
      </c>
    </row>
    <row r="34" spans="1:8" x14ac:dyDescent="0.25">
      <c r="A34" t="s">
        <v>240</v>
      </c>
      <c r="B34" t="s">
        <v>241</v>
      </c>
      <c r="C34" t="s">
        <v>233</v>
      </c>
      <c r="D34" s="4">
        <v>378270</v>
      </c>
      <c r="E34" s="4">
        <v>309700</v>
      </c>
      <c r="F34" s="5">
        <v>-68570</v>
      </c>
      <c r="G34" s="5">
        <v>68570</v>
      </c>
      <c r="H34" t="s">
        <v>147</v>
      </c>
    </row>
    <row r="35" spans="1:8" x14ac:dyDescent="0.25">
      <c r="A35" t="s">
        <v>227</v>
      </c>
      <c r="B35" t="s">
        <v>228</v>
      </c>
      <c r="C35" t="s">
        <v>223</v>
      </c>
      <c r="D35" s="4">
        <v>1815620</v>
      </c>
      <c r="E35" s="4">
        <v>1773900</v>
      </c>
      <c r="F35" s="5">
        <v>-41720</v>
      </c>
      <c r="G35" s="5">
        <v>41720</v>
      </c>
      <c r="H35" t="s">
        <v>147</v>
      </c>
    </row>
    <row r="36" spans="1:8" x14ac:dyDescent="0.25">
      <c r="A36" t="s">
        <v>231</v>
      </c>
      <c r="B36" t="s">
        <v>232</v>
      </c>
      <c r="C36" t="s">
        <v>233</v>
      </c>
      <c r="D36" s="4">
        <v>304860</v>
      </c>
      <c r="E36" s="4">
        <v>295500</v>
      </c>
      <c r="F36" s="5">
        <v>-9360</v>
      </c>
      <c r="G36" s="5">
        <v>9360</v>
      </c>
      <c r="H36" t="s">
        <v>147</v>
      </c>
    </row>
    <row r="37" spans="1:8" x14ac:dyDescent="0.25">
      <c r="A37" t="s">
        <v>236</v>
      </c>
      <c r="B37" t="s">
        <v>237</v>
      </c>
      <c r="C37" t="s">
        <v>233</v>
      </c>
      <c r="D37" s="4">
        <v>450370</v>
      </c>
      <c r="E37" s="4">
        <v>443200</v>
      </c>
      <c r="F37" s="5">
        <v>-7170</v>
      </c>
      <c r="G37" s="5">
        <v>7170</v>
      </c>
      <c r="H37" t="s">
        <v>147</v>
      </c>
    </row>
    <row r="38" spans="1:8" x14ac:dyDescent="0.25">
      <c r="A38" t="s">
        <v>262</v>
      </c>
      <c r="B38" t="s">
        <v>263</v>
      </c>
      <c r="C38" t="s">
        <v>233</v>
      </c>
      <c r="D38" s="4">
        <v>227650</v>
      </c>
      <c r="E38" s="4">
        <v>221900</v>
      </c>
      <c r="F38" s="5">
        <v>-5750</v>
      </c>
      <c r="G38" s="5">
        <v>5750</v>
      </c>
      <c r="H38" t="s">
        <v>147</v>
      </c>
    </row>
    <row r="39" spans="1:8" x14ac:dyDescent="0.25">
      <c r="A39" t="s">
        <v>252</v>
      </c>
      <c r="B39" t="s">
        <v>253</v>
      </c>
      <c r="C39" t="s">
        <v>233</v>
      </c>
      <c r="D39" s="4">
        <v>189850</v>
      </c>
      <c r="E39" s="4">
        <v>184800</v>
      </c>
      <c r="F39" s="5">
        <v>-5050</v>
      </c>
      <c r="G39" s="5">
        <v>5050</v>
      </c>
      <c r="H39" t="s">
        <v>147</v>
      </c>
    </row>
    <row r="40" spans="1:8" x14ac:dyDescent="0.25">
      <c r="A40" t="s">
        <v>244</v>
      </c>
      <c r="B40" t="s">
        <v>245</v>
      </c>
      <c r="C40" t="s">
        <v>233</v>
      </c>
      <c r="D40" s="4">
        <v>257410</v>
      </c>
      <c r="E40" s="4">
        <v>253200</v>
      </c>
      <c r="F40" s="5">
        <v>-4210</v>
      </c>
      <c r="G40" s="5">
        <v>4210</v>
      </c>
      <c r="H40" t="s">
        <v>147</v>
      </c>
    </row>
    <row r="41" spans="1:8" x14ac:dyDescent="0.25"/>
    <row r="42" spans="1:8" x14ac:dyDescent="0.25"/>
    <row r="43" spans="1:8" x14ac:dyDescent="0.25"/>
    <row r="44" spans="1:8" x14ac:dyDescent="0.25"/>
    <row r="45" spans="1:8" x14ac:dyDescent="0.25"/>
    <row r="46" spans="1:8" x14ac:dyDescent="0.25"/>
    <row r="47" spans="1:8" x14ac:dyDescent="0.25"/>
    <row r="48" spans="1:8" x14ac:dyDescent="0.25"/>
    <row r="49" customFormat="1" x14ac:dyDescent="0.25"/>
    <row r="50" customFormat="1" x14ac:dyDescent="0.25"/>
    <row r="51" customFormat="1" hidden="1" x14ac:dyDescent="0.25"/>
    <row r="52" customFormat="1" hidden="1" x14ac:dyDescent="0.25"/>
    <row r="53" customFormat="1" hidden="1" x14ac:dyDescent="0.25"/>
    <row r="54" customFormat="1" hidden="1" x14ac:dyDescent="0.25"/>
    <row r="55" customFormat="1" hidden="1" x14ac:dyDescent="0.25"/>
    <row r="56" customFormat="1" hidden="1" x14ac:dyDescent="0.25"/>
  </sheetData>
  <conditionalFormatting sqref="F31:F40 L7:L27">
    <cfRule type="cellIs" dxfId="9" priority="5" operator="equal">
      <formula>0</formula>
    </cfRule>
    <cfRule type="cellIs" dxfId="8" priority="6" operator="lessThan">
      <formula>0</formula>
    </cfRule>
    <cfRule type="cellIs" dxfId="7" priority="7" operator="greaterThan">
      <formula>0</formula>
    </cfRule>
  </conditionalFormatting>
  <conditionalFormatting sqref="H31:H40">
    <cfRule type="expression" dxfId="6" priority="2">
      <formula>$H31="Unfavourable"</formula>
    </cfRule>
    <cfRule type="expression" dxfId="5" priority="4">
      <formula>$H31="Favourable"</formula>
    </cfRule>
  </conditionalFormatting>
  <conditionalFormatting sqref="O7:O27">
    <cfRule type="expression" dxfId="4" priority="1">
      <formula>$O7="Unfavourable"</formula>
    </cfRule>
    <cfRule type="expression" dxfId="3" priority="3">
      <formula>$O7="Favourable"</formula>
    </cfRule>
  </conditionalFormatting>
  <pageMargins left="0.7" right="0.7" top="0.75" bottom="0.75" header="0.3" footer="0.3"/>
  <drawing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CFE89-E970-4EBC-9B6D-2E548D0A0EE2}">
  <dimension ref="A1:P29"/>
  <sheetViews>
    <sheetView showGridLines="0" workbookViewId="0">
      <pane ySplit="4" topLeftCell="A1048543" activePane="bottomLeft" state="frozen"/>
      <selection pane="bottomLeft" activeCell="A30" sqref="A30:XFD1048576"/>
    </sheetView>
  </sheetViews>
  <sheetFormatPr defaultColWidth="0" defaultRowHeight="15" zeroHeight="1" x14ac:dyDescent="0.25"/>
  <cols>
    <col min="1" max="1" width="31.28515625" customWidth="1"/>
    <col min="2" max="2" width="31.5703125" bestFit="1" customWidth="1"/>
    <col min="3" max="3" width="13.42578125" bestFit="1" customWidth="1"/>
    <col min="4" max="4" width="16.85546875" bestFit="1" customWidth="1"/>
    <col min="5" max="5" width="24.28515625" bestFit="1" customWidth="1"/>
    <col min="6" max="6" width="26.28515625" bestFit="1" customWidth="1"/>
    <col min="7" max="7" width="23.28515625" bestFit="1" customWidth="1"/>
    <col min="8" max="8" width="25.42578125" bestFit="1" customWidth="1"/>
    <col min="9" max="9" width="35.28515625" bestFit="1" customWidth="1"/>
    <col min="10" max="10" width="21" bestFit="1" customWidth="1"/>
    <col min="11" max="12" width="43.28515625" bestFit="1" customWidth="1"/>
    <col min="13" max="13" width="12.42578125" bestFit="1" customWidth="1"/>
    <col min="14" max="14" width="45" bestFit="1" customWidth="1"/>
    <col min="15" max="15" width="25.7109375" bestFit="1" customWidth="1"/>
    <col min="16" max="16" width="27.7109375" bestFit="1" customWidth="1"/>
    <col min="17" max="16384" width="9.140625" hidden="1"/>
  </cols>
  <sheetData>
    <row r="1" spans="1:4" ht="23.25" x14ac:dyDescent="0.35">
      <c r="A1" s="2" t="s">
        <v>302</v>
      </c>
    </row>
    <row r="2" spans="1:4" x14ac:dyDescent="0.25">
      <c r="A2" t="s">
        <v>303</v>
      </c>
    </row>
    <row r="3" spans="1:4" x14ac:dyDescent="0.25"/>
    <row r="4" spans="1:4" x14ac:dyDescent="0.25"/>
    <row r="5" spans="1:4" ht="20.25" thickBot="1" x14ac:dyDescent="0.35">
      <c r="A5" s="6" t="s">
        <v>304</v>
      </c>
    </row>
    <row r="6" spans="1:4" ht="15.75" thickTop="1" x14ac:dyDescent="0.25">
      <c r="A6" t="s">
        <v>306</v>
      </c>
      <c r="B6" t="s">
        <v>307</v>
      </c>
      <c r="C6" t="s">
        <v>308</v>
      </c>
      <c r="D6" t="s">
        <v>309</v>
      </c>
    </row>
    <row r="7" spans="1:4" x14ac:dyDescent="0.25">
      <c r="A7" t="s">
        <v>310</v>
      </c>
      <c r="B7">
        <v>2</v>
      </c>
      <c r="C7">
        <v>0</v>
      </c>
      <c r="D7">
        <v>2</v>
      </c>
    </row>
    <row r="8" spans="1:4" x14ac:dyDescent="0.25">
      <c r="A8" t="s">
        <v>311</v>
      </c>
      <c r="B8">
        <v>1</v>
      </c>
      <c r="C8">
        <v>0</v>
      </c>
      <c r="D8">
        <v>1</v>
      </c>
    </row>
    <row r="9" spans="1:4" x14ac:dyDescent="0.25">
      <c r="A9" t="s">
        <v>312</v>
      </c>
      <c r="B9">
        <v>1</v>
      </c>
      <c r="C9">
        <v>0</v>
      </c>
      <c r="D9">
        <v>1</v>
      </c>
    </row>
    <row r="10" spans="1:4" x14ac:dyDescent="0.25">
      <c r="A10" t="s">
        <v>313</v>
      </c>
      <c r="B10">
        <v>1</v>
      </c>
      <c r="C10">
        <v>0</v>
      </c>
      <c r="D10">
        <v>1</v>
      </c>
    </row>
    <row r="11" spans="1:4" x14ac:dyDescent="0.25">
      <c r="A11" t="s">
        <v>314</v>
      </c>
      <c r="B11">
        <v>1</v>
      </c>
      <c r="C11">
        <v>1</v>
      </c>
      <c r="D11">
        <v>0</v>
      </c>
    </row>
    <row r="12" spans="1:4" x14ac:dyDescent="0.25">
      <c r="A12" t="s">
        <v>315</v>
      </c>
      <c r="B12">
        <v>2</v>
      </c>
      <c r="C12">
        <v>2</v>
      </c>
      <c r="D12">
        <v>0</v>
      </c>
    </row>
    <row r="13" spans="1:4" x14ac:dyDescent="0.25">
      <c r="A13" t="s">
        <v>316</v>
      </c>
      <c r="B13">
        <v>2</v>
      </c>
      <c r="C13">
        <v>2</v>
      </c>
      <c r="D13">
        <v>0</v>
      </c>
    </row>
    <row r="14" spans="1:4" x14ac:dyDescent="0.25">
      <c r="A14" t="s">
        <v>317</v>
      </c>
      <c r="B14">
        <v>1</v>
      </c>
      <c r="C14">
        <v>1</v>
      </c>
      <c r="D14">
        <v>0</v>
      </c>
    </row>
    <row r="15" spans="1:4" x14ac:dyDescent="0.25"/>
    <row r="16" spans="1:4" x14ac:dyDescent="0.25"/>
    <row r="17" spans="1:16" ht="20.25" thickBot="1" x14ac:dyDescent="0.35">
      <c r="A17" s="6" t="s">
        <v>305</v>
      </c>
    </row>
    <row r="18" spans="1:16" ht="15.75" thickTop="1" x14ac:dyDescent="0.25">
      <c r="A18" t="s">
        <v>318</v>
      </c>
      <c r="B18" t="s">
        <v>306</v>
      </c>
      <c r="C18" t="s">
        <v>83</v>
      </c>
      <c r="D18" t="s">
        <v>169</v>
      </c>
      <c r="E18" t="s">
        <v>319</v>
      </c>
      <c r="F18" t="s">
        <v>320</v>
      </c>
      <c r="G18" t="s">
        <v>321</v>
      </c>
      <c r="H18" t="s">
        <v>322</v>
      </c>
      <c r="I18" t="s">
        <v>323</v>
      </c>
      <c r="J18" t="s">
        <v>324</v>
      </c>
      <c r="K18" t="s">
        <v>325</v>
      </c>
      <c r="L18" t="s">
        <v>326</v>
      </c>
      <c r="M18" t="s">
        <v>327</v>
      </c>
      <c r="N18" t="s">
        <v>328</v>
      </c>
      <c r="O18" t="s">
        <v>329</v>
      </c>
      <c r="P18" t="s">
        <v>330</v>
      </c>
    </row>
    <row r="19" spans="1:16" x14ac:dyDescent="0.25">
      <c r="A19" t="s">
        <v>13</v>
      </c>
      <c r="B19" t="s">
        <v>310</v>
      </c>
      <c r="C19" s="11" t="s">
        <v>100</v>
      </c>
      <c r="D19" t="s">
        <v>174</v>
      </c>
      <c r="F19" t="s">
        <v>202</v>
      </c>
      <c r="G19" t="s">
        <v>258</v>
      </c>
      <c r="H19" t="s">
        <v>258</v>
      </c>
      <c r="I19" t="s">
        <v>331</v>
      </c>
      <c r="J19" t="s">
        <v>332</v>
      </c>
      <c r="K19" t="s">
        <v>333</v>
      </c>
      <c r="L19" t="s">
        <v>333</v>
      </c>
      <c r="M19" s="4">
        <v>390</v>
      </c>
      <c r="N19" t="s">
        <v>334</v>
      </c>
      <c r="O19" t="s">
        <v>335</v>
      </c>
      <c r="P19" t="s">
        <v>336</v>
      </c>
    </row>
    <row r="20" spans="1:16" x14ac:dyDescent="0.25">
      <c r="A20" t="s">
        <v>13</v>
      </c>
      <c r="B20" t="s">
        <v>311</v>
      </c>
      <c r="C20" s="11" t="s">
        <v>102</v>
      </c>
      <c r="D20" t="s">
        <v>174</v>
      </c>
      <c r="E20" t="s">
        <v>199</v>
      </c>
      <c r="F20" t="s">
        <v>199</v>
      </c>
      <c r="G20" t="s">
        <v>248</v>
      </c>
      <c r="H20" t="s">
        <v>248</v>
      </c>
      <c r="I20" t="s">
        <v>337</v>
      </c>
      <c r="J20" t="s">
        <v>338</v>
      </c>
      <c r="K20" t="s">
        <v>339</v>
      </c>
      <c r="L20" t="s">
        <v>340</v>
      </c>
      <c r="M20" s="4">
        <v>640</v>
      </c>
      <c r="N20" t="s">
        <v>341</v>
      </c>
      <c r="O20" t="s">
        <v>335</v>
      </c>
      <c r="P20" t="s">
        <v>336</v>
      </c>
    </row>
    <row r="21" spans="1:16" x14ac:dyDescent="0.25">
      <c r="A21" t="s">
        <v>13</v>
      </c>
      <c r="B21" t="s">
        <v>312</v>
      </c>
      <c r="C21" s="11" t="s">
        <v>104</v>
      </c>
      <c r="D21" t="s">
        <v>177</v>
      </c>
      <c r="E21" t="s">
        <v>193</v>
      </c>
      <c r="F21" t="s">
        <v>193</v>
      </c>
      <c r="G21" t="s">
        <v>295</v>
      </c>
      <c r="H21" t="s">
        <v>295</v>
      </c>
      <c r="I21" t="s">
        <v>342</v>
      </c>
      <c r="J21" t="s">
        <v>343</v>
      </c>
      <c r="K21" t="s">
        <v>344</v>
      </c>
      <c r="L21" t="s">
        <v>344</v>
      </c>
      <c r="M21" s="4">
        <v>7090</v>
      </c>
      <c r="N21" t="s">
        <v>345</v>
      </c>
      <c r="O21" t="s">
        <v>335</v>
      </c>
      <c r="P21" t="s">
        <v>336</v>
      </c>
    </row>
    <row r="22" spans="1:16" x14ac:dyDescent="0.25">
      <c r="A22" t="s">
        <v>13</v>
      </c>
      <c r="B22" t="s">
        <v>313</v>
      </c>
      <c r="C22" s="11" t="s">
        <v>108</v>
      </c>
      <c r="D22" t="s">
        <v>174</v>
      </c>
      <c r="E22" t="s">
        <v>202</v>
      </c>
      <c r="F22" t="s">
        <v>202</v>
      </c>
      <c r="G22" t="s">
        <v>346</v>
      </c>
      <c r="H22" t="s">
        <v>280</v>
      </c>
      <c r="I22" t="s">
        <v>347</v>
      </c>
      <c r="J22" t="s">
        <v>348</v>
      </c>
      <c r="K22" t="s">
        <v>349</v>
      </c>
      <c r="L22" t="s">
        <v>349</v>
      </c>
      <c r="M22" s="4">
        <v>2950</v>
      </c>
      <c r="N22" t="s">
        <v>350</v>
      </c>
      <c r="O22" t="s">
        <v>335</v>
      </c>
      <c r="P22" t="s">
        <v>336</v>
      </c>
    </row>
    <row r="23" spans="1:16" x14ac:dyDescent="0.25">
      <c r="A23" t="s">
        <v>13</v>
      </c>
      <c r="B23" t="s">
        <v>314</v>
      </c>
      <c r="C23" s="11" t="s">
        <v>110</v>
      </c>
      <c r="D23" t="s">
        <v>174</v>
      </c>
      <c r="E23" t="s">
        <v>193</v>
      </c>
      <c r="F23" t="s">
        <v>193</v>
      </c>
      <c r="G23" t="s">
        <v>244</v>
      </c>
      <c r="H23" t="s">
        <v>244</v>
      </c>
      <c r="I23" t="s">
        <v>351</v>
      </c>
      <c r="J23" t="s">
        <v>352</v>
      </c>
      <c r="K23" t="s">
        <v>353</v>
      </c>
      <c r="L23" t="s">
        <v>353</v>
      </c>
      <c r="M23" s="4">
        <v>1710</v>
      </c>
      <c r="N23" t="s">
        <v>354</v>
      </c>
      <c r="O23" t="s">
        <v>355</v>
      </c>
      <c r="P23" t="s">
        <v>356</v>
      </c>
    </row>
    <row r="24" spans="1:16" x14ac:dyDescent="0.25">
      <c r="A24" t="s">
        <v>13</v>
      </c>
      <c r="B24" t="s">
        <v>315</v>
      </c>
      <c r="C24" s="11" t="s">
        <v>112</v>
      </c>
      <c r="D24" t="s">
        <v>183</v>
      </c>
      <c r="E24" t="s">
        <v>196</v>
      </c>
      <c r="F24" t="s">
        <v>196</v>
      </c>
      <c r="G24" t="s">
        <v>240</v>
      </c>
      <c r="H24" t="s">
        <v>240</v>
      </c>
      <c r="I24" t="s">
        <v>357</v>
      </c>
      <c r="J24" t="s">
        <v>358</v>
      </c>
      <c r="K24" t="s">
        <v>359</v>
      </c>
      <c r="L24" t="s">
        <v>359</v>
      </c>
      <c r="M24" s="4">
        <v>29920</v>
      </c>
      <c r="N24" t="s">
        <v>360</v>
      </c>
      <c r="O24" t="s">
        <v>355</v>
      </c>
      <c r="P24" t="s">
        <v>356</v>
      </c>
    </row>
    <row r="25" spans="1:16" x14ac:dyDescent="0.25">
      <c r="A25" t="s">
        <v>13</v>
      </c>
      <c r="B25" t="s">
        <v>315</v>
      </c>
      <c r="C25" s="11" t="s">
        <v>112</v>
      </c>
      <c r="D25" t="s">
        <v>183</v>
      </c>
      <c r="E25" t="s">
        <v>196</v>
      </c>
      <c r="F25" t="s">
        <v>196</v>
      </c>
      <c r="G25" t="s">
        <v>240</v>
      </c>
      <c r="H25" t="s">
        <v>240</v>
      </c>
      <c r="I25" t="s">
        <v>361</v>
      </c>
      <c r="J25" t="s">
        <v>362</v>
      </c>
      <c r="K25" t="s">
        <v>359</v>
      </c>
      <c r="L25" t="s">
        <v>359</v>
      </c>
      <c r="M25" s="4">
        <v>34790</v>
      </c>
      <c r="N25" t="s">
        <v>360</v>
      </c>
      <c r="O25" t="s">
        <v>355</v>
      </c>
      <c r="P25" t="s">
        <v>356</v>
      </c>
    </row>
    <row r="26" spans="1:16" x14ac:dyDescent="0.25">
      <c r="A26" t="s">
        <v>13</v>
      </c>
      <c r="B26" t="s">
        <v>316</v>
      </c>
      <c r="C26" s="11" t="s">
        <v>114</v>
      </c>
      <c r="D26" t="s">
        <v>174</v>
      </c>
      <c r="E26" t="s">
        <v>193</v>
      </c>
      <c r="F26" t="s">
        <v>193</v>
      </c>
      <c r="G26" t="s">
        <v>231</v>
      </c>
      <c r="H26" t="s">
        <v>231</v>
      </c>
      <c r="I26" t="s">
        <v>363</v>
      </c>
      <c r="J26" t="s">
        <v>364</v>
      </c>
      <c r="K26" t="s">
        <v>365</v>
      </c>
      <c r="L26" t="s">
        <v>365</v>
      </c>
      <c r="M26" s="4">
        <v>3870</v>
      </c>
      <c r="N26" t="s">
        <v>366</v>
      </c>
      <c r="O26" t="s">
        <v>355</v>
      </c>
      <c r="P26" t="s">
        <v>356</v>
      </c>
    </row>
    <row r="27" spans="1:16" x14ac:dyDescent="0.25">
      <c r="A27" t="s">
        <v>13</v>
      </c>
      <c r="B27" t="s">
        <v>316</v>
      </c>
      <c r="C27" s="11" t="s">
        <v>114</v>
      </c>
      <c r="D27" t="s">
        <v>174</v>
      </c>
      <c r="E27" t="s">
        <v>193</v>
      </c>
      <c r="F27" t="s">
        <v>193</v>
      </c>
      <c r="G27" t="s">
        <v>262</v>
      </c>
      <c r="H27" t="s">
        <v>262</v>
      </c>
      <c r="I27" t="s">
        <v>367</v>
      </c>
      <c r="J27" t="s">
        <v>364</v>
      </c>
      <c r="K27" t="s">
        <v>368</v>
      </c>
      <c r="L27" t="s">
        <v>368</v>
      </c>
      <c r="M27" s="4">
        <v>600</v>
      </c>
      <c r="N27" t="s">
        <v>366</v>
      </c>
      <c r="O27" t="s">
        <v>355</v>
      </c>
      <c r="P27" t="s">
        <v>356</v>
      </c>
    </row>
    <row r="28" spans="1:16" x14ac:dyDescent="0.25">
      <c r="A28" t="s">
        <v>13</v>
      </c>
      <c r="B28" t="s">
        <v>310</v>
      </c>
      <c r="C28" s="11" t="s">
        <v>116</v>
      </c>
      <c r="D28" t="s">
        <v>174</v>
      </c>
      <c r="F28" t="s">
        <v>202</v>
      </c>
      <c r="G28" t="s">
        <v>265</v>
      </c>
      <c r="H28" t="s">
        <v>265</v>
      </c>
      <c r="I28" t="s">
        <v>369</v>
      </c>
      <c r="J28" t="s">
        <v>370</v>
      </c>
      <c r="K28" t="s">
        <v>371</v>
      </c>
      <c r="L28" t="s">
        <v>371</v>
      </c>
      <c r="M28" s="4">
        <v>140</v>
      </c>
      <c r="N28" t="s">
        <v>334</v>
      </c>
      <c r="O28" t="s">
        <v>335</v>
      </c>
      <c r="P28" t="s">
        <v>336</v>
      </c>
    </row>
    <row r="29" spans="1:16" x14ac:dyDescent="0.25">
      <c r="A29" t="s">
        <v>38</v>
      </c>
      <c r="B29" t="s">
        <v>317</v>
      </c>
      <c r="C29" s="11" t="s">
        <v>110</v>
      </c>
      <c r="D29" t="s">
        <v>183</v>
      </c>
      <c r="E29" t="s">
        <v>196</v>
      </c>
      <c r="F29" t="s">
        <v>196</v>
      </c>
      <c r="G29" t="s">
        <v>240</v>
      </c>
      <c r="H29" t="s">
        <v>240</v>
      </c>
      <c r="I29" t="s">
        <v>372</v>
      </c>
      <c r="K29" t="s">
        <v>373</v>
      </c>
      <c r="L29" t="s">
        <v>373</v>
      </c>
      <c r="M29" s="4">
        <v>0</v>
      </c>
      <c r="N29" t="s">
        <v>374</v>
      </c>
      <c r="O29" t="s">
        <v>375</v>
      </c>
      <c r="P29" t="s">
        <v>376</v>
      </c>
    </row>
  </sheetData>
  <conditionalFormatting sqref="P19:P29">
    <cfRule type="expression" dxfId="2" priority="1">
      <formula>$P19="Open - Budget Owner Review"</formula>
    </cfRule>
    <cfRule type="expression" dxfId="1" priority="2">
      <formula>$P19="Open - Review Required"</formula>
    </cfRule>
    <cfRule type="expression" dxfId="0" priority="3">
      <formula>$P19= "Resolved"</formula>
    </cfRule>
  </conditionalFormatting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D20B2B-AB95-43DA-82F0-CAA62B92B1C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00_Control</vt:lpstr>
      <vt:lpstr>01_Reconciliation</vt:lpstr>
      <vt:lpstr>02_Budget_vs_Actual</vt:lpstr>
      <vt:lpstr>03_Branch_Analysis</vt:lpstr>
      <vt:lpstr>04_Department_Analysis</vt:lpstr>
      <vt:lpstr>05_Account_Analysis</vt:lpstr>
      <vt:lpstr>06_Exceptions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Darrell Gayok Insor</cp:lastModifiedBy>
  <dcterms:created xsi:type="dcterms:W3CDTF">2015-06-05T18:17:20Z</dcterms:created>
  <dcterms:modified xsi:type="dcterms:W3CDTF">2026-08-09T05:30:28Z</dcterms:modified>
</cp:coreProperties>
</file>