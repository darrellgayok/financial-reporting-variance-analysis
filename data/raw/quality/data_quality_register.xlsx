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b57d6d282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Quality_Register" sheetId="1" r:id="R45d906ffc6ce4f9a"/>
    <x:sheet xmlns:r="http://schemas.openxmlformats.org/officeDocument/2006/relationships" name="Validation_Rules" sheetId="2" r:id="R110d0fcbf01949b1"/>
    <x:sheet xmlns:r="http://schemas.openxmlformats.org/officeDocument/2006/relationships" name="Source_File_Inventory" sheetId="3" r:id="R9fb45dae19ce49bc"/>
    <x:sheet xmlns:r="http://schemas.openxmlformats.org/officeDocument/2006/relationships" name="Quality_Summary" sheetId="4" r:id="Rb238d160b2004a01"/>
    <x:sheet xmlns:r="http://schemas.openxmlformats.org/officeDocument/2006/relationships" name="Data_Notes" sheetId="5" r:id="Rfb27de74336b43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;[Red](0);-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2E2E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E8F0E6"/>
      </x:patternFill>
    </x:fill>
    <x:fill>
      <x:patternFill patternType="solid">
        <x:fgColor rgb="FF2E2E2E"/>
      </x:patternFill>
    </x:fill>
  </x:fills>
  <x:borders count="4">
    <x:border/>
    <x:border/>
    <x:border>
      <x:top style="thin">
        <x:color rgb="FF2E2E2E"/>
      </x:top>
    </x:border>
    <x:border>
      <x:top style="thin">
        <x:color rgb="FF2E2E2E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200" fontId="3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200" fontId="3" fillId="3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200" fontId="3" fillId="0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F5E3B"/>
      </x:font>
      <x:fill>
        <x:patternFill patternType="solid">
          <x:bgColor rgb="FFE8F0E6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F5E3B"/>
      </x:font>
      <x:fill>
        <x:patternFill patternType="solid">
          <x:bgColor rgb="FFE8F0E6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F5E3B"/>
      </x:font>
      <x:fill>
        <x:patternFill patternType="solid">
          <x:bgColor rgb="FFE8F0E6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F5E3B"/>
      </x:font>
      <x:fill>
        <x:patternFill patternType="solid">
          <x:bgColor rgb="FFE8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457c5a4b48c5" /><Relationship Type="http://schemas.openxmlformats.org/officeDocument/2006/relationships/theme" Target="/xl/theme/theme1.xml" Id="R16d8ebb2f4984441" /><Relationship Type="http://schemas.openxmlformats.org/officeDocument/2006/relationships/sharedStrings" Target="/xl/sharedStrings.xml" Id="Rd57785cdf81d42d7" /><Relationship Type="http://schemas.openxmlformats.org/officeDocument/2006/relationships/worksheet" Target="/xl/worksheets/sheet1.xml" Id="R45d906ffc6ce4f9a" /><Relationship Type="http://schemas.openxmlformats.org/officeDocument/2006/relationships/worksheet" Target="/xl/worksheets/sheet2.xml" Id="R110d0fcbf01949b1" /><Relationship Type="http://schemas.openxmlformats.org/officeDocument/2006/relationships/worksheet" Target="/xl/worksheets/sheet3.xml" Id="R9fb45dae19ce49bc" /><Relationship Type="http://schemas.openxmlformats.org/officeDocument/2006/relationships/worksheet" Target="/xl/worksheets/sheet4.xml" Id="Rb238d160b2004a01" /><Relationship Type="http://schemas.openxmlformats.org/officeDocument/2006/relationships/worksheet" Target="/xl/worksheets/sheet5.xml" Id="Rfb27de74336b437e" /></Relationships>
</file>

<file path=xl/tables/table1.xml><?xml version="1.0" encoding="utf-8"?>
<x:table xmlns:x="http://schemas.openxmlformats.org/spreadsheetml/2006/main" id="1" name="DataQualityRegisterTable" displayName="DataQualityRegisterTable" ref="A1:N11" headerRowCount="1">
  <x:tableColumns count="14">
    <x:tableColumn id="1" name="IssueID"/>
    <x:tableColumn id="2" name="Dataset"/>
    <x:tableColumn id="3" name="SourceFile"/>
    <x:tableColumn id="4" name="IssueCategory"/>
    <x:tableColumn id="5" name="Severity"/>
    <x:tableColumn id="6" name="AffectedField"/>
    <x:tableColumn id="7" name="AffectedKey"/>
    <x:tableColumn id="8" name="IssueDescription"/>
    <x:tableColumn id="9" name="DetectionMethod"/>
    <x:tableColumn id="10" name="ExpectedTreatment"/>
    <x:tableColumn id="11" name="ExpectedValidationResult"/>
    <x:tableColumn id="12" name="ProjectStage"/>
    <x:tableColumn id="13" name="Owner"/>
    <x:tableColumn id="1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RulesTable" displayName="ValidationRulesTable" ref="A1:H17" headerRowCount="1">
  <x:tableColumns count="8">
    <x:tableColumn id="1" name="RuleID"/>
    <x:tableColumn id="2" name="Dataset"/>
    <x:tableColumn id="3" name="Field or Test"/>
    <x:tableColumn id="4" name="RuleType"/>
    <x:tableColumn id="5" name="ValidationRule"/>
    <x:tableColumn id="6" name="FailureOutput"/>
    <x:tableColumn id="7" name="RecommendedTool"/>
    <x:tableColumn id="8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SourceFileInventoryTable" displayName="SourceFileInventoryTable" ref="A1:G13" headerRowCount="1">
  <x:tableColumns count="7">
    <x:tableColumn id="1" name="MonthKey"/>
    <x:tableColumn id="2" name="SourceFile"/>
    <x:tableColumn id="3" name="RawRowCount"/>
    <x:tableColumn id="4" name="KnownIssueCount"/>
    <x:tableColumn id="5" name="KnownIssueSummary"/>
    <x:tableColumn id="6" name="ExpectedProcessedRowAdjustment"/>
    <x:tableColumn id="7" name="Reconciliation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b2b90caee4b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91075232094d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747927bed849a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24" hidden="0" customWidth="1"/>
    <x:col min="5" max="5" width="12" hidden="0" customWidth="1"/>
    <x:col min="6" max="6" width="28" hidden="0" customWidth="1"/>
    <x:col min="7" max="7" width="34" hidden="0" customWidth="1"/>
    <x:col min="8" max="8" width="54" hidden="0" customWidth="1"/>
    <x:col min="9" max="9" width="56" hidden="0" customWidth="1"/>
    <x:col min="10" max="10" width="60" hidden="0" customWidth="1"/>
    <x:col min="11" max="11" width="56" hidden="0" customWidth="1"/>
    <x:col min="12" max="12" width="25" hidden="0" customWidth="1"/>
    <x:col min="13" max="13" width="24" hidden="0" customWidth="1"/>
    <x:col min="14" max="14" width="20" hidden="0" customWidth="1"/>
  </x:cols>
  <x:sheetData>
    <x:row r="1" ht="32" customHeight="1">
      <x:c r="A1" s="5" t="str">
        <x:v>IssueID</x:v>
      </x:c>
      <x:c r="B1" s="5" t="str">
        <x:v>Dataset</x:v>
      </x:c>
      <x:c r="C1" s="5" t="str">
        <x:v>SourceFile</x:v>
      </x:c>
      <x:c r="D1" s="5" t="str">
        <x:v>IssueCategory</x:v>
      </x:c>
      <x:c r="E1" s="5" t="str">
        <x:v>Severity</x:v>
      </x:c>
      <x:c r="F1" s="5" t="str">
        <x:v>AffectedField</x:v>
      </x:c>
      <x:c r="G1" s="5" t="str">
        <x:v>AffectedKey</x:v>
      </x:c>
      <x:c r="H1" s="5" t="str">
        <x:v>IssueDescription</x:v>
      </x:c>
      <x:c r="I1" s="5" t="str">
        <x:v>DetectionMethod</x:v>
      </x:c>
      <x:c r="J1" s="5" t="str">
        <x:v>ExpectedTreatment</x:v>
      </x:c>
      <x:c r="K1" s="5" t="str">
        <x:v>ExpectedValidationResult</x:v>
      </x:c>
      <x:c r="L1" s="5" t="str">
        <x:v>ProjectStage</x:v>
      </x:c>
      <x:c r="M1" s="5" t="str">
        <x:v>Owner</x:v>
      </x:c>
      <x:c r="N1" s="5" t="str">
        <x:v>Status</x:v>
      </x:c>
    </x:row>
    <x:row r="2">
      <x:c r="A2" s="12" t="str">
        <x:v>DQ-BUD-001</x:v>
      </x:c>
      <x:c r="B2" s="12" t="str">
        <x:v>Monthly_Budget</x:v>
      </x:c>
      <x:c r="C2" s="12" t="str">
        <x:v>monthly_budget_2025.xlsx</x:v>
      </x:c>
      <x:c r="D2" s="12" t="str">
        <x:v>Completeness</x:v>
      </x:c>
      <x:c r="E2" s="12" t="str">
        <x:v>High</x:v>
      </x:c>
      <x:c r="F2" s="12" t="str">
        <x:v>BudgetAmount</x:v>
      </x:c>
      <x:c r="G2" s="12" t="str">
        <x:v>2025-08 | BR03 | D02 | 6600</x:v>
      </x:c>
      <x:c r="H2" s="12" t="str">
        <x:v>One budget line for Bintulu Operations repairs and maintenance is intentionally omitted.</x:v>
      </x:c>
      <x:c r="I2" s="12" t="str">
        <x:v>Compare expected MonthKey–BranchID–DepartmentID–AccountCode combinations against the budget table.</x:v>
      </x:c>
      <x:c r="J2" s="12" t="str">
        <x:v>Retain the missing raw record, flag it during validation, and handle the zero-budget case safely in variance calculations.</x:v>
      </x:c>
      <x:c r="K2" s="12" t="str">
        <x:v>Missing combination is identified without creating a false replacement amount.</x:v>
      </x:c>
      <x:c r="L2" s="12" t="str">
        <x:v>Power Query / SQL</x:v>
      </x:c>
      <x:c r="M2" s="12" t="str">
        <x:v>Darrell Gayok Insor</x:v>
      </x:c>
      <x:c r="N2" s="12" t="str">
        <x:v>Open in Raw Data</x:v>
      </x:c>
    </x:row>
    <x:row r="3">
      <x:c r="A3" s="12" t="str">
        <x:v>DQ-ACT-001</x:v>
      </x:c>
      <x:c r="B3" s="12" t="str">
        <x:v>Actual_Transactions</x:v>
      </x:c>
      <x:c r="C3" s="12" t="str">
        <x:v>actual_transactions_2025_02.xlsx</x:v>
      </x:c>
      <x:c r="D3" s="12" t="str">
        <x:v>Standardisation</x:v>
      </x:c>
      <x:c r="E3" s="12" t="str">
        <x:v>Medium</x:v>
      </x:c>
      <x:c r="F3" s="12" t="str">
        <x:v>BranchID, DepartmentID, AccountCode</x:v>
      </x:c>
      <x:c r="G3" s="12" t="str">
        <x:v>Selected February transaction records</x:v>
      </x:c>
      <x:c r="H3" s="12" t="str">
        <x:v>Trailing spaces are intentionally included in selected key fields.</x:v>
      </x:c>
      <x:c r="I3" s="12" t="str">
        <x:v>Compare field length before and after TRIM; validate keys against the related master tables.</x:v>
      </x:c>
      <x:c r="J3" s="12" t="str">
        <x:v>Apply TRIM and CLEAN before relationship and master-data validation.</x:v>
      </x:c>
      <x:c r="K3" s="12" t="str">
        <x:v>All affected keys match the correct master records after cleaning.</x:v>
      </x:c>
      <x:c r="L3" s="12" t="str">
        <x:v>Power Query</x:v>
      </x:c>
      <x:c r="M3" s="12" t="str">
        <x:v>Darrell Gayok Insor</x:v>
      </x:c>
      <x:c r="N3" s="12" t="str">
        <x:v>Open in Raw Data</x:v>
      </x:c>
    </x:row>
    <x:row r="4">
      <x:c r="A4" s="12" t="str">
        <x:v>DQ-ACT-002</x:v>
      </x:c>
      <x:c r="B4" s="12" t="str">
        <x:v>Actual_Transactions</x:v>
      </x:c>
      <x:c r="C4" s="12" t="str">
        <x:v>actual_transactions_2025_03.xlsx</x:v>
      </x:c>
      <x:c r="D4" s="12" t="str">
        <x:v>Completeness</x:v>
      </x:c>
      <x:c r="E4" s="12" t="str">
        <x:v>High</x:v>
      </x:c>
      <x:c r="F4" s="12" t="str">
        <x:v>DepartmentID</x:v>
      </x:c>
      <x:c r="G4" s="12" t="str">
        <x:v>One March transaction</x:v>
      </x:c>
      <x:c r="H4" s="12" t="str">
        <x:v>One transaction has a blank DepartmentID.</x:v>
      </x:c>
      <x:c r="I4" s="12" t="str">
        <x:v>Filter null or blank DepartmentID values and compare against required-field rules.</x:v>
      </x:c>
      <x:c r="J4" s="12" t="str">
        <x:v>Investigate the transaction context and assign or flag the missing department before reporting.</x:v>
      </x:c>
      <x:c r="K4" s="12" t="str">
        <x:v>No unresolved blank DepartmentID remains in the processed dataset.</x:v>
      </x:c>
      <x:c r="L4" s="12" t="str">
        <x:v>Power Query / SQL</x:v>
      </x:c>
      <x:c r="M4" s="12" t="str">
        <x:v>Darrell Gayok Insor</x:v>
      </x:c>
      <x:c r="N4" s="12" t="str">
        <x:v>Open in Raw Data</x:v>
      </x:c>
    </x:row>
    <x:row r="5">
      <x:c r="A5" s="12" t="str">
        <x:v>DQ-ACT-003</x:v>
      </x:c>
      <x:c r="B5" s="12" t="str">
        <x:v>Actual_Transactions</x:v>
      </x:c>
      <x:c r="C5" s="12" t="str">
        <x:v>actual_transactions_2025_04.xlsx</x:v>
      </x:c>
      <x:c r="D5" s="12" t="str">
        <x:v>Consistency</x:v>
      </x:c>
      <x:c r="E5" s="12" t="str">
        <x:v>Low</x:v>
      </x:c>
      <x:c r="F5" s="12" t="str">
        <x:v>Description</x:v>
      </x:c>
      <x:c r="G5" s="12" t="str">
        <x:v>One April transaction</x:v>
      </x:c>
      <x:c r="H5" s="12" t="str">
        <x:v>One transaction description uses inconsistent uppercase text.</x:v>
      </x:c>
      <x:c r="I5" s="12" t="str">
        <x:v>Review text case patterns and compare against standard description formats.</x:v>
      </x:c>
      <x:c r="J5" s="12" t="str">
        <x:v>Standardise text using a consistent case convention while preserving the business meaning.</x:v>
      </x:c>
      <x:c r="K5" s="12" t="str">
        <x:v>Description formatting is consistent across processed records.</x:v>
      </x:c>
      <x:c r="L5" s="12" t="str">
        <x:v>Power Query</x:v>
      </x:c>
      <x:c r="M5" s="12" t="str">
        <x:v>Darrell Gayok Insor</x:v>
      </x:c>
      <x:c r="N5" s="12" t="str">
        <x:v>Open in Raw Data</x:v>
      </x:c>
    </x:row>
    <x:row r="6">
      <x:c r="A6" s="12" t="str">
        <x:v>DQ-ACT-004</x:v>
      </x:c>
      <x:c r="B6" s="12" t="str">
        <x:v>Actual_Transactions</x:v>
      </x:c>
      <x:c r="C6" s="12" t="str">
        <x:v>actual_transactions_2025_05.xlsx</x:v>
      </x:c>
      <x:c r="D6" s="12" t="str">
        <x:v>Uniqueness</x:v>
      </x:c>
      <x:c r="E6" s="12" t="str">
        <x:v>High</x:v>
      </x:c>
      <x:c r="F6" s="12" t="str">
        <x:v>TransactionID and full row</x:v>
      </x:c>
      <x:c r="G6" s="12" t="str">
        <x:v>One duplicated May transaction</x:v>
      </x:c>
      <x:c r="H6" s="12" t="str">
        <x:v>One transaction row is intentionally duplicated exactly.</x:v>
      </x:c>
      <x:c r="I6" s="12" t="str">
        <x:v>Group by TransactionID and compare duplicate counts; also test for fully duplicated rows.</x:v>
      </x:c>
      <x:c r="J6" s="12" t="str">
        <x:v>Remove one duplicate copy and retain one valid transaction record.</x:v>
      </x:c>
      <x:c r="K6" s="12" t="str">
        <x:v>TransactionID is unique and the processed row count is reduced by one.</x:v>
      </x:c>
      <x:c r="L6" s="12" t="str">
        <x:v>Power Query / SQL</x:v>
      </x:c>
      <x:c r="M6" s="12" t="str">
        <x:v>Darrell Gayok Insor</x:v>
      </x:c>
      <x:c r="N6" s="12" t="str">
        <x:v>Open in Raw Data</x:v>
      </x:c>
    </x:row>
    <x:row r="7">
      <x:c r="A7" s="12" t="str">
        <x:v>DQ-ACT-005</x:v>
      </x:c>
      <x:c r="B7" s="12" t="str">
        <x:v>Actual_Transactions</x:v>
      </x:c>
      <x:c r="C7" s="12" t="str">
        <x:v>actual_transactions_2025_07.xlsx</x:v>
      </x:c>
      <x:c r="D7" s="12" t="str">
        <x:v>Validity</x:v>
      </x:c>
      <x:c r="E7" s="12" t="str">
        <x:v>High</x:v>
      </x:c>
      <x:c r="F7" s="12" t="str">
        <x:v>AccountCode</x:v>
      </x:c>
      <x:c r="G7" s="12" t="str">
        <x:v>AccountCode 6999</x:v>
      </x:c>
      <x:c r="H7" s="12" t="str">
        <x:v>One July transaction uses an account code that does not exist in Account_Master.</x:v>
      </x:c>
      <x:c r="I7" s="12" t="str">
        <x:v>Left anti-join transaction account codes against Account_Master.</x:v>
      </x:c>
      <x:c r="J7" s="12" t="str">
        <x:v>Flag the record for investigation and correct or exclude it before financial reporting.</x:v>
      </x:c>
      <x:c r="K7" s="12" t="str">
        <x:v>No unmatched AccountCode remains in the processed dataset.</x:v>
      </x:c>
      <x:c r="L7" s="12" t="str">
        <x:v>Power Query / SQL</x:v>
      </x:c>
      <x:c r="M7" s="12" t="str">
        <x:v>Darrell Gayok Insor</x:v>
      </x:c>
      <x:c r="N7" s="12" t="str">
        <x:v>Open in Raw Data</x:v>
      </x:c>
    </x:row>
    <x:row r="8">
      <x:c r="A8" s="12" t="str">
        <x:v>DQ-ACT-006</x:v>
      </x:c>
      <x:c r="B8" s="12" t="str">
        <x:v>Actual_Transactions</x:v>
      </x:c>
      <x:c r="C8" s="12" t="str">
        <x:v>actual_transactions_2025_08.xlsx</x:v>
      </x:c>
      <x:c r="D8" s="12" t="str">
        <x:v>Master Data Control</x:v>
      </x:c>
      <x:c r="E8" s="12" t="str">
        <x:v>High</x:v>
      </x:c>
      <x:c r="F8" s="12" t="str">
        <x:v>VendorID</x:v>
      </x:c>
      <x:c r="G8" s="12" t="str">
        <x:v>VendorID V028</x:v>
      </x:c>
      <x:c r="H8" s="12" t="str">
        <x:v>One August IT transaction uses an inactive, high-risk vendor.</x:v>
      </x:c>
      <x:c r="I8" s="12" t="str">
        <x:v>Join VendorID to Vendor_Master and filter VendorStatus = Inactive or RiskRating = High.</x:v>
      </x:c>
      <x:c r="J8" s="12" t="str">
        <x:v>Retain the transaction for audit visibility but flag it as a vendor-control exception.</x:v>
      </x:c>
      <x:c r="K8" s="12" t="str">
        <x:v>The exception appears in the processed control output and Power BI exception page.</x:v>
      </x:c>
      <x:c r="L8" s="12" t="str">
        <x:v>Power Query / SQL / Power BI</x:v>
      </x:c>
      <x:c r="M8" s="12" t="str">
        <x:v>Darrell Gayok Insor</x:v>
      </x:c>
      <x:c r="N8" s="12" t="str">
        <x:v>Open in Raw Data</x:v>
      </x:c>
    </x:row>
    <x:row r="9">
      <x:c r="A9" s="12" t="str">
        <x:v>DQ-ACT-007</x:v>
      </x:c>
      <x:c r="B9" s="12" t="str">
        <x:v>Actual_Transactions</x:v>
      </x:c>
      <x:c r="C9" s="12" t="str">
        <x:v>actual_transactions_2025_09.xlsx</x:v>
      </x:c>
      <x:c r="D9" s="12" t="str">
        <x:v>Reasonableness</x:v>
      </x:c>
      <x:c r="E9" s="12" t="str">
        <x:v>Medium</x:v>
      </x:c>
      <x:c r="F9" s="12" t="str">
        <x:v>Amount</x:v>
      </x:c>
      <x:c r="G9" s="12" t="str">
        <x:v>2025-09 | BR03 | D02 | 6600</x:v>
      </x:c>
      <x:c r="H9" s="12" t="str">
        <x:v>Bintulu Operations contains an unusually large repairs and maintenance expense.</x:v>
      </x:c>
      <x:c r="I9" s="12" t="str">
        <x:v>Compare transaction amounts with account-level averages, budget values, and materiality thresholds.</x:v>
      </x:c>
      <x:c r="J9" s="12" t="str">
        <x:v>Retain the valid transaction and classify it as an unusual item requiring management commentary.</x:v>
      </x:c>
      <x:c r="K9" s="12" t="str">
        <x:v>The item is not removed and is highlighted in account and variance analysis.</x:v>
      </x:c>
      <x:c r="L9" s="12" t="str">
        <x:v>SQL / Power BI</x:v>
      </x:c>
      <x:c r="M9" s="12" t="str">
        <x:v>Darrell Gayok Insor</x:v>
      </x:c>
      <x:c r="N9" s="12" t="str">
        <x:v>Open in Raw Data</x:v>
      </x:c>
    </x:row>
    <x:row r="10">
      <x:c r="A10" s="12" t="str">
        <x:v>DQ-ACT-008</x:v>
      </x:c>
      <x:c r="B10" s="12" t="str">
        <x:v>Actual_Transactions</x:v>
      </x:c>
      <x:c r="C10" s="12" t="str">
        <x:v>actual_transactions_2025_10.xlsx</x:v>
      </x:c>
      <x:c r="D10" s="12" t="str">
        <x:v>Duplicate Invoice Control</x:v>
      </x:c>
      <x:c r="E10" s="12" t="str">
        <x:v>High</x:v>
      </x:c>
      <x:c r="F10" s="12" t="str">
        <x:v>VendorID and DocumentNumber</x:v>
      </x:c>
      <x:c r="G10" s="12" t="str">
        <x:v>One repeated vendor invoice reference</x:v>
      </x:c>
      <x:c r="H10" s="12" t="str">
        <x:v>Two distinct October expense transactions share the same VendorID and DocumentNumber.</x:v>
      </x:c>
      <x:c r="I10" s="12" t="str">
        <x:v>Group by VendorID and DocumentNumber and identify combinations with count greater than one.</x:v>
      </x:c>
      <x:c r="J10" s="12" t="str">
        <x:v>Flag both records for Accounts Payable review; do not automatically delete because the transactions are not exact row duplicates.</x:v>
      </x:c>
      <x:c r="K10" s="12" t="str">
        <x:v>Potential duplicate invoice appears in the exception output for manual review.</x:v>
      </x:c>
      <x:c r="L10" s="12" t="str">
        <x:v>SQL / Power BI</x:v>
      </x:c>
      <x:c r="M10" s="12" t="str">
        <x:v>Darrell Gayok Insor</x:v>
      </x:c>
      <x:c r="N10" s="12" t="str">
        <x:v>Open in Raw Data</x:v>
      </x:c>
    </x:row>
    <x:row r="11">
      <x:c r="A11" s="12" t="str">
        <x:v>DQ-ACT-009</x:v>
      </x:c>
      <x:c r="B11" s="12" t="str">
        <x:v>Actual_Transactions</x:v>
      </x:c>
      <x:c r="C11" s="12" t="str">
        <x:v>actual_transactions_2025_11.xlsx</x:v>
      </x:c>
      <x:c r="D11" s="12" t="str">
        <x:v>Completeness</x:v>
      </x:c>
      <x:c r="E11" s="12" t="str">
        <x:v>High</x:v>
      </x:c>
      <x:c r="F11" s="12" t="str">
        <x:v>DepartmentID</x:v>
      </x:c>
      <x:c r="G11" s="12" t="str">
        <x:v>One November transaction</x:v>
      </x:c>
      <x:c r="H11" s="12" t="str">
        <x:v>One transaction has a blank DepartmentID.</x:v>
      </x:c>
      <x:c r="I11" s="12" t="str">
        <x:v>Filter null or blank DepartmentID values and compare against required-field rules.</x:v>
      </x:c>
      <x:c r="J11" s="12" t="str">
        <x:v>Investigate the transaction context and assign or flag the missing department before reporting.</x:v>
      </x:c>
      <x:c r="K11" s="12" t="str">
        <x:v>No unresolved blank DepartmentID remains in the processed dataset.</x:v>
      </x:c>
      <x:c r="L11" s="12" t="str">
        <x:v>Power Query / SQL</x:v>
      </x:c>
      <x:c r="M11" s="12" t="str">
        <x:v>Darrell Gayok Insor</x:v>
      </x:c>
      <x:c r="N11" s="12" t="str">
        <x:v>Open in Raw Data</x:v>
      </x:c>
    </x:row>
  </x:sheetData>
  <x:conditionalFormatting sqref="E2:E11">
    <x:cfRule type="expression" dxfId="0" priority="1">
      <x:formula>E2="High"</x:formula>
    </x:cfRule>
    <x:cfRule type="expression" dxfId="1" priority="2">
      <x:formula>E2="Medium"</x:formula>
    </x:cfRule>
    <x:cfRule type="expression" dxfId="2" priority="3">
      <x:formula>E2="Low"</x:formula>
    </x:cfRule>
  </x:conditionalFormatting>
  <x:conditionalFormatting sqref="N2:N11">
    <x:cfRule type="expression" dxfId="3" priority="4">
      <x:formula>N2="Open in Raw Data"</x:formula>
    </x:cfRule>
    <x:cfRule type="expression" dxfId="4" priority="5">
      <x:formula>N2="Resolved"</x:formula>
    </x:cfRule>
  </x:conditionalFormatting>
  <x:dataValidations count="2">
    <x:dataValidation type="list" sqref="E2:E11">
      <x:formula1>"High,Medium,Low"</x:formula1>
    </x:dataValidation>
    <x:dataValidation type="list" sqref="N2:N11">
      <x:formula1>"Open in Raw Data,Under Review,Resolved,Accepted Exception"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4b2b90caee4b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1" hidden="0" customWidth="1"/>
    <x:col min="4" max="4" width="24" hidden="0" customWidth="1"/>
    <x:col min="5" max="5" width="64" hidden="0" customWidth="1"/>
    <x:col min="6" max="6" width="38" hidden="0" customWidth="1"/>
    <x:col min="7" max="7" width="24" hidden="0" customWidth="1"/>
    <x:col min="8" max="8" width="12" hidden="0" customWidth="1"/>
  </x:cols>
  <x:sheetData>
    <x:row r="1">
      <x:c r="A1" s="4" t="str">
        <x:v>RuleID</x:v>
      </x:c>
      <x:c r="B1" s="4" t="str">
        <x:v>Dataset</x:v>
      </x:c>
      <x:c r="C1" s="4" t="str">
        <x:v>Field or Test</x:v>
      </x:c>
      <x:c r="D1" s="4" t="str">
        <x:v>RuleType</x:v>
      </x:c>
      <x:c r="E1" s="4" t="str">
        <x:v>ValidationRule</x:v>
      </x:c>
      <x:c r="F1" s="4" t="str">
        <x:v>FailureOutput</x:v>
      </x:c>
      <x:c r="G1" s="4" t="str">
        <x:v>RecommendedTool</x:v>
      </x:c>
      <x:c r="H1" s="4" t="str">
        <x:v>Priority</x:v>
      </x:c>
    </x:row>
    <x:row r="2">
      <x:c r="A2" s="12" t="str">
        <x:v>VR-001</x:v>
      </x:c>
      <x:c r="B2" s="12" t="str">
        <x:v>Actual_Transactions</x:v>
      </x:c>
      <x:c r="C2" s="12" t="str">
        <x:v>TransactionID</x:v>
      </x:c>
      <x:c r="D2" s="12" t="str">
        <x:v>Uniqueness</x:v>
      </x:c>
      <x:c r="E2" s="12" t="str">
        <x:v>TransactionID must be unique after approved duplicate removal.</x:v>
      </x:c>
      <x:c r="F2" s="12" t="str">
        <x:v>Duplicate transaction list</x:v>
      </x:c>
      <x:c r="G2" s="12" t="str">
        <x:v>Power Query / SQL</x:v>
      </x:c>
      <x:c r="H2" s="12" t="str">
        <x:v>High</x:v>
      </x:c>
    </x:row>
    <x:row r="3">
      <x:c r="A3" s="12" t="str">
        <x:v>VR-002</x:v>
      </x:c>
      <x:c r="B3" s="12" t="str">
        <x:v>Actual_Transactions</x:v>
      </x:c>
      <x:c r="C3" s="12" t="str">
        <x:v>PostingDate</x:v>
      </x:c>
      <x:c r="D3" s="12" t="str">
        <x:v>Validity</x:v>
      </x:c>
      <x:c r="E3" s="12" t="str">
        <x:v>PostingDate must be a valid date within 2025.</x:v>
      </x:c>
      <x:c r="F3" s="12" t="str">
        <x:v>Invalid date list</x:v>
      </x:c>
      <x:c r="G3" s="12" t="str">
        <x:v>Power Query / SQL</x:v>
      </x:c>
      <x:c r="H3" s="12" t="str">
        <x:v>High</x:v>
      </x:c>
    </x:row>
    <x:row r="4">
      <x:c r="A4" s="12" t="str">
        <x:v>VR-003</x:v>
      </x:c>
      <x:c r="B4" s="12" t="str">
        <x:v>Actual_Transactions</x:v>
      </x:c>
      <x:c r="C4" s="12" t="str">
        <x:v>MonthKey</x:v>
      </x:c>
      <x:c r="D4" s="12" t="str">
        <x:v>Consistency</x:v>
      </x:c>
      <x:c r="E4" s="12" t="str">
        <x:v>MonthKey must equal the year and month of PostingDate.</x:v>
      </x:c>
      <x:c r="F4" s="12" t="str">
        <x:v>Month mismatch list</x:v>
      </x:c>
      <x:c r="G4" s="12" t="str">
        <x:v>Power Query / SQL</x:v>
      </x:c>
      <x:c r="H4" s="12" t="str">
        <x:v>High</x:v>
      </x:c>
    </x:row>
    <x:row r="5">
      <x:c r="A5" s="12" t="str">
        <x:v>VR-004</x:v>
      </x:c>
      <x:c r="B5" s="12" t="str">
        <x:v>Actual_Transactions</x:v>
      </x:c>
      <x:c r="C5" s="12" t="str">
        <x:v>BranchID</x:v>
      </x:c>
      <x:c r="D5" s="12" t="str">
        <x:v>Referential Integrity</x:v>
      </x:c>
      <x:c r="E5" s="12" t="str">
        <x:v>Trimmed BranchID must exist in Branch_Master.</x:v>
      </x:c>
      <x:c r="F5" s="12" t="str">
        <x:v>Unmatched branch list</x:v>
      </x:c>
      <x:c r="G5" s="12" t="str">
        <x:v>Power Query / SQL</x:v>
      </x:c>
      <x:c r="H5" s="12" t="str">
        <x:v>High</x:v>
      </x:c>
    </x:row>
    <x:row r="6">
      <x:c r="A6" s="12" t="str">
        <x:v>VR-005</x:v>
      </x:c>
      <x:c r="B6" s="12" t="str">
        <x:v>Actual_Transactions</x:v>
      </x:c>
      <x:c r="C6" s="12" t="str">
        <x:v>DepartmentID</x:v>
      </x:c>
      <x:c r="D6" s="12" t="str">
        <x:v>Completeness and Integrity</x:v>
      </x:c>
      <x:c r="E6" s="12" t="str">
        <x:v>DepartmentID is required and must exist in Department_Master.</x:v>
      </x:c>
      <x:c r="F6" s="12" t="str">
        <x:v>Blank or unmatched department list</x:v>
      </x:c>
      <x:c r="G6" s="12" t="str">
        <x:v>Power Query / SQL</x:v>
      </x:c>
      <x:c r="H6" s="12" t="str">
        <x:v>High</x:v>
      </x:c>
    </x:row>
    <x:row r="7">
      <x:c r="A7" s="12" t="str">
        <x:v>VR-006</x:v>
      </x:c>
      <x:c r="B7" s="12" t="str">
        <x:v>Actual_Transactions</x:v>
      </x:c>
      <x:c r="C7" s="12" t="str">
        <x:v>AccountCode</x:v>
      </x:c>
      <x:c r="D7" s="12" t="str">
        <x:v>Referential Integrity</x:v>
      </x:c>
      <x:c r="E7" s="12" t="str">
        <x:v>Trimmed AccountCode must exist in Account_Master.</x:v>
      </x:c>
      <x:c r="F7" s="12" t="str">
        <x:v>Unmatched account list</x:v>
      </x:c>
      <x:c r="G7" s="12" t="str">
        <x:v>Power Query / SQL</x:v>
      </x:c>
      <x:c r="H7" s="12" t="str">
        <x:v>High</x:v>
      </x:c>
    </x:row>
    <x:row r="8">
      <x:c r="A8" s="12" t="str">
        <x:v>VR-007</x:v>
      </x:c>
      <x:c r="B8" s="12" t="str">
        <x:v>Actual_Transactions</x:v>
      </x:c>
      <x:c r="C8" s="12" t="str">
        <x:v>VendorID</x:v>
      </x:c>
      <x:c r="D8" s="12" t="str">
        <x:v>Master Data Control</x:v>
      </x:c>
      <x:c r="E8" s="12" t="str">
        <x:v>Populated VendorID must exist in Vendor_Master; inactive or high-risk vendors must be flagged.</x:v>
      </x:c>
      <x:c r="F8" s="12" t="str">
        <x:v>Vendor exception list</x:v>
      </x:c>
      <x:c r="G8" s="12" t="str">
        <x:v>Power Query / SQL</x:v>
      </x:c>
      <x:c r="H8" s="12" t="str">
        <x:v>High</x:v>
      </x:c>
    </x:row>
    <x:row r="9">
      <x:c r="A9" s="12" t="str">
        <x:v>VR-008</x:v>
      </x:c>
      <x:c r="B9" s="12" t="str">
        <x:v>Actual_Transactions</x:v>
      </x:c>
      <x:c r="C9" s="12" t="str">
        <x:v>VendorID + DocumentNumber</x:v>
      </x:c>
      <x:c r="D9" s="12" t="str">
        <x:v>Duplicate Invoice Control</x:v>
      </x:c>
      <x:c r="E9" s="12" t="str">
        <x:v>Supplier-related document references should not repeat without review.</x:v>
      </x:c>
      <x:c r="F9" s="12" t="str">
        <x:v>Potential duplicate invoice list</x:v>
      </x:c>
      <x:c r="G9" s="12" t="str">
        <x:v>SQL</x:v>
      </x:c>
      <x:c r="H9" s="12" t="str">
        <x:v>High</x:v>
      </x:c>
    </x:row>
    <x:row r="10">
      <x:c r="A10" s="12" t="str">
        <x:v>VR-009</x:v>
      </x:c>
      <x:c r="B10" s="12" t="str">
        <x:v>Actual_Transactions</x:v>
      </x:c>
      <x:c r="C10" s="12" t="str">
        <x:v>Amount</x:v>
      </x:c>
      <x:c r="D10" s="12" t="str">
        <x:v>Validity</x:v>
      </x:c>
      <x:c r="E10" s="12" t="str">
        <x:v>Amount must be numeric and greater than zero under the management-reporting convention.</x:v>
      </x:c>
      <x:c r="F10" s="12" t="str">
        <x:v>Invalid amount list</x:v>
      </x:c>
      <x:c r="G10" s="12" t="str">
        <x:v>Power Query / SQL</x:v>
      </x:c>
      <x:c r="H10" s="12" t="str">
        <x:v>High</x:v>
      </x:c>
    </x:row>
    <x:row r="11">
      <x:c r="A11" s="12" t="str">
        <x:v>VR-010</x:v>
      </x:c>
      <x:c r="B11" s="12" t="str">
        <x:v>Actual_Transactions</x:v>
      </x:c>
      <x:c r="C11" s="12" t="str">
        <x:v>Amount</x:v>
      </x:c>
      <x:c r="D11" s="12" t="str">
        <x:v>Reasonableness</x:v>
      </x:c>
      <x:c r="E11" s="12" t="str">
        <x:v>Material transactions should be compared with budget and historical account patterns.</x:v>
      </x:c>
      <x:c r="F11" s="12" t="str">
        <x:v>Unusual transaction list</x:v>
      </x:c>
      <x:c r="G11" s="12" t="str">
        <x:v>SQL / Power BI</x:v>
      </x:c>
      <x:c r="H11" s="12" t="str">
        <x:v>Medium</x:v>
      </x:c>
    </x:row>
    <x:row r="12">
      <x:c r="A12" s="12" t="str">
        <x:v>VR-011</x:v>
      </x:c>
      <x:c r="B12" s="12" t="str">
        <x:v>Actual_Transactions</x:v>
      </x:c>
      <x:c r="C12" s="12" t="str">
        <x:v>SourceFile</x:v>
      </x:c>
      <x:c r="D12" s="12" t="str">
        <x:v>Lineage</x:v>
      </x:c>
      <x:c r="E12" s="12" t="str">
        <x:v>SourceFile must match the monthly file being imported.</x:v>
      </x:c>
      <x:c r="F12" s="12" t="str">
        <x:v>Source lineage mismatch</x:v>
      </x:c>
      <x:c r="G12" s="12" t="str">
        <x:v>Power Query</x:v>
      </x:c>
      <x:c r="H12" s="12" t="str">
        <x:v>Medium</x:v>
      </x:c>
    </x:row>
    <x:row r="13">
      <x:c r="A13" s="12" t="str">
        <x:v>VR-012</x:v>
      </x:c>
      <x:c r="B13" s="12" t="str">
        <x:v>Monthly_Budget</x:v>
      </x:c>
      <x:c r="C13" s="12" t="str">
        <x:v>BudgetID</x:v>
      </x:c>
      <x:c r="D13" s="12" t="str">
        <x:v>Uniqueness</x:v>
      </x:c>
      <x:c r="E13" s="12" t="str">
        <x:v>BudgetID must be unique.</x:v>
      </x:c>
      <x:c r="F13" s="12" t="str">
        <x:v>Duplicate budget row list</x:v>
      </x:c>
      <x:c r="G13" s="12" t="str">
        <x:v>Power Query / SQL</x:v>
      </x:c>
      <x:c r="H13" s="12" t="str">
        <x:v>High</x:v>
      </x:c>
    </x:row>
    <x:row r="14">
      <x:c r="A14" s="12" t="str">
        <x:v>VR-013</x:v>
      </x:c>
      <x:c r="B14" s="12" t="str">
        <x:v>Monthly_Budget</x:v>
      </x:c>
      <x:c r="C14" s="12" t="str">
        <x:v>MonthKey + BranchID + DepartmentID + AccountCode</x:v>
      </x:c>
      <x:c r="D14" s="12" t="str">
        <x:v>Completeness</x:v>
      </x:c>
      <x:c r="E14" s="12" t="str">
        <x:v>Expected budget combinations must be present unless documented as an approved exception.</x:v>
      </x:c>
      <x:c r="F14" s="12" t="str">
        <x:v>Missing budget combination list</x:v>
      </x:c>
      <x:c r="G14" s="12" t="str">
        <x:v>Power Query / SQL</x:v>
      </x:c>
      <x:c r="H14" s="12" t="str">
        <x:v>High</x:v>
      </x:c>
    </x:row>
    <x:row r="15">
      <x:c r="A15" s="12" t="str">
        <x:v>VR-014</x:v>
      </x:c>
      <x:c r="B15" s="12" t="str">
        <x:v>Monthly_Budget</x:v>
      </x:c>
      <x:c r="C15" s="12" t="str">
        <x:v>BudgetAmount</x:v>
      </x:c>
      <x:c r="D15" s="12" t="str">
        <x:v>Validity</x:v>
      </x:c>
      <x:c r="E15" s="12" t="str">
        <x:v>BudgetAmount must be numeric and greater than or equal to zero.</x:v>
      </x:c>
      <x:c r="F15" s="12" t="str">
        <x:v>Invalid budget amount list</x:v>
      </x:c>
      <x:c r="G15" s="12" t="str">
        <x:v>Power Query / SQL</x:v>
      </x:c>
      <x:c r="H15" s="12" t="str">
        <x:v>High</x:v>
      </x:c>
    </x:row>
    <x:row r="16">
      <x:c r="A16" s="12" t="str">
        <x:v>VR-015</x:v>
      </x:c>
      <x:c r="B16" s="12" t="str">
        <x:v>Monthly_Budget</x:v>
      </x:c>
      <x:c r="C16" s="12" t="str">
        <x:v>Dimension Keys</x:v>
      </x:c>
      <x:c r="D16" s="12" t="str">
        <x:v>Referential Integrity</x:v>
      </x:c>
      <x:c r="E16" s="12" t="str">
        <x:v>All MonthKey, BranchID, DepartmentID and AccountCode values must match the master tables.</x:v>
      </x:c>
      <x:c r="F16" s="12" t="str">
        <x:v>Unmatched budget keys</x:v>
      </x:c>
      <x:c r="G16" s="12" t="str">
        <x:v>Power Query / SQL</x:v>
      </x:c>
      <x:c r="H16" s="12" t="str">
        <x:v>High</x:v>
      </x:c>
    </x:row>
    <x:row r="17">
      <x:c r="A17" s="12" t="str">
        <x:v>VR-016</x:v>
      </x:c>
      <x:c r="B17" s="12" t="str">
        <x:v>All Processed Tables</x:v>
      </x:c>
      <x:c r="C17" s="12" t="str">
        <x:v>Row Count and Amount Totals</x:v>
      </x:c>
      <x:c r="D17" s="12" t="str">
        <x:v>Reconciliation</x:v>
      </x:c>
      <x:c r="E17" s="12" t="str">
        <x:v>Processed totals must reconcile to raw source totals after documented removals or corrections.</x:v>
      </x:c>
      <x:c r="F17" s="12" t="str">
        <x:v>Reconciliation difference report</x:v>
      </x:c>
      <x:c r="G17" s="12" t="str">
        <x:v>Excel / SQL</x:v>
      </x:c>
      <x:c r="H17" s="12" t="str">
        <x:v>High</x:v>
      </x:c>
    </x:row>
  </x:sheetData>
  <x:conditionalFormatting sqref="H2:H17">
    <x:cfRule type="expression" dxfId="5" priority="1">
      <x:formula>H2="High"</x:formula>
    </x:cfRule>
    <x:cfRule type="expression" dxfId="6" priority="2">
      <x:formula>H2="Medium"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91075232094d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8" hidden="0" customWidth="1"/>
    <x:col min="4" max="4" width="18" hidden="0" customWidth="1"/>
    <x:col min="5" max="5" width="56" hidden="0" customWidth="1"/>
    <x:col min="6" max="6" width="30" hidden="0" customWidth="1"/>
    <x:col min="7" max="7" width="22" hidden="0" customWidth="1"/>
  </x:cols>
  <x:sheetData>
    <x:row r="1">
      <x:c r="A1" s="4" t="str">
        <x:v>MonthKey</x:v>
      </x:c>
      <x:c r="B1" s="4" t="str">
        <x:v>SourceFile</x:v>
      </x:c>
      <x:c r="C1" s="4" t="str">
        <x:v>RawRowCount</x:v>
      </x:c>
      <x:c r="D1" s="4" t="str">
        <x:v>KnownIssueCount</x:v>
      </x:c>
      <x:c r="E1" s="4" t="str">
        <x:v>KnownIssueSummary</x:v>
      </x:c>
      <x:c r="F1" s="4" t="str">
        <x:v>ExpectedProcessedRowAdjustment</x:v>
      </x:c>
      <x:c r="G1" s="4" t="str">
        <x:v>ReconciliationStatus</x:v>
      </x:c>
    </x:row>
    <x:row r="2">
      <x:c r="A2" s="12" t="str">
        <x:v>2025-01</x:v>
      </x:c>
      <x:c r="B2" s="12" t="str">
        <x:v>actual_transactions_2025_01.xlsx</x:v>
      </x:c>
      <x:c r="C2" s="14" t="n">
        <x:v>483</x:v>
      </x:c>
      <x:c r="D2" s="14" t="n">
        <x:v>0</x:v>
      </x:c>
      <x:c r="E2" s="12" t="str">
        <x:v>None intentionally inserted.</x:v>
      </x:c>
      <x:c r="F2" s="14" t="n">
        <x:v>0</x:v>
      </x:c>
      <x:c r="G2" s="10" t="str">
        <x:v>Not Yet Processed</x:v>
      </x:c>
    </x:row>
    <x:row r="3">
      <x:c r="A3" s="12" t="str">
        <x:v>2025-02</x:v>
      </x:c>
      <x:c r="B3" s="12" t="str">
        <x:v>actual_transactions_2025_02.xlsx</x:v>
      </x:c>
      <x:c r="C3" s="14" t="n">
        <x:v>478</x:v>
      </x:c>
      <x:c r="D3" s="14" t="n">
        <x:v>1</x:v>
      </x:c>
      <x:c r="E3" s="12" t="str">
        <x:v>Trailing spaces in selected key fields.</x:v>
      </x:c>
      <x:c r="F3" s="14" t="n">
        <x:v>0</x:v>
      </x:c>
      <x:c r="G3" s="10" t="str">
        <x:v>Not Yet Processed</x:v>
      </x:c>
    </x:row>
    <x:row r="4">
      <x:c r="A4" s="12" t="str">
        <x:v>2025-03</x:v>
      </x:c>
      <x:c r="B4" s="12" t="str">
        <x:v>actual_transactions_2025_03.xlsx</x:v>
      </x:c>
      <x:c r="C4" s="14" t="n">
        <x:v>496</x:v>
      </x:c>
      <x:c r="D4" s="14" t="n">
        <x:v>1</x:v>
      </x:c>
      <x:c r="E4" s="12" t="str">
        <x:v>One blank DepartmentID.</x:v>
      </x:c>
      <x:c r="F4" s="14" t="n">
        <x:v>0</x:v>
      </x:c>
      <x:c r="G4" s="10" t="str">
        <x:v>Not Yet Processed</x:v>
      </x:c>
    </x:row>
    <x:row r="5">
      <x:c r="A5" s="12" t="str">
        <x:v>2025-04</x:v>
      </x:c>
      <x:c r="B5" s="12" t="str">
        <x:v>actual_transactions_2025_04.xlsx</x:v>
      </x:c>
      <x:c r="C5" s="14" t="n">
        <x:v>492</x:v>
      </x:c>
      <x:c r="D5" s="14" t="n">
        <x:v>1</x:v>
      </x:c>
      <x:c r="E5" s="12" t="str">
        <x:v>One uppercase description.</x:v>
      </x:c>
      <x:c r="F5" s="14" t="n">
        <x:v>0</x:v>
      </x:c>
      <x:c r="G5" s="10" t="str">
        <x:v>Not Yet Processed</x:v>
      </x:c>
    </x:row>
    <x:row r="6">
      <x:c r="A6" s="12" t="str">
        <x:v>2025-05</x:v>
      </x:c>
      <x:c r="B6" s="12" t="str">
        <x:v>actual_transactions_2025_05.xlsx</x:v>
      </x:c>
      <x:c r="C6" s="14" t="n">
        <x:v>492</x:v>
      </x:c>
      <x:c r="D6" s="14" t="n">
        <x:v>1</x:v>
      </x:c>
      <x:c r="E6" s="12" t="str">
        <x:v>One exact duplicate transaction row.</x:v>
      </x:c>
      <x:c r="F6" s="14" t="n">
        <x:v>-1</x:v>
      </x:c>
      <x:c r="G6" s="10" t="str">
        <x:v>Not Yet Processed</x:v>
      </x:c>
    </x:row>
    <x:row r="7">
      <x:c r="A7" s="12" t="str">
        <x:v>2025-06</x:v>
      </x:c>
      <x:c r="B7" s="12" t="str">
        <x:v>actual_transactions_2025_06.xlsx</x:v>
      </x:c>
      <x:c r="C7" s="14" t="n">
        <x:v>475</x:v>
      </x:c>
      <x:c r="D7" s="14" t="n">
        <x:v>0</x:v>
      </x:c>
      <x:c r="E7" s="12" t="str">
        <x:v>None intentionally inserted.</x:v>
      </x:c>
      <x:c r="F7" s="14" t="n">
        <x:v>0</x:v>
      </x:c>
      <x:c r="G7" s="10" t="str">
        <x:v>Not Yet Processed</x:v>
      </x:c>
    </x:row>
    <x:row r="8">
      <x:c r="A8" s="12" t="str">
        <x:v>2025-07</x:v>
      </x:c>
      <x:c r="B8" s="12" t="str">
        <x:v>actual_transactions_2025_07.xlsx</x:v>
      </x:c>
      <x:c r="C8" s="14" t="n">
        <x:v>489</x:v>
      </x:c>
      <x:c r="D8" s="14" t="n">
        <x:v>1</x:v>
      </x:c>
      <x:c r="E8" s="12" t="str">
        <x:v>One invalid AccountCode 6999.</x:v>
      </x:c>
      <x:c r="F8" s="14" t="n">
        <x:v>0</x:v>
      </x:c>
      <x:c r="G8" s="10" t="str">
        <x:v>Not Yet Processed</x:v>
      </x:c>
    </x:row>
    <x:row r="9">
      <x:c r="A9" s="12" t="str">
        <x:v>2025-08</x:v>
      </x:c>
      <x:c r="B9" s="12" t="str">
        <x:v>actual_transactions_2025_08.xlsx</x:v>
      </x:c>
      <x:c r="C9" s="14" t="n">
        <x:v>484</x:v>
      </x:c>
      <x:c r="D9" s="14" t="n">
        <x:v>1</x:v>
      </x:c>
      <x:c r="E9" s="12" t="str">
        <x:v>One transaction uses inactive VendorID V028.</x:v>
      </x:c>
      <x:c r="F9" s="14" t="n">
        <x:v>0</x:v>
      </x:c>
      <x:c r="G9" s="10" t="str">
        <x:v>Not Yet Processed</x:v>
      </x:c>
    </x:row>
    <x:row r="10">
      <x:c r="A10" s="12" t="str">
        <x:v>2025-09</x:v>
      </x:c>
      <x:c r="B10" s="12" t="str">
        <x:v>actual_transactions_2025_09.xlsx</x:v>
      </x:c>
      <x:c r="C10" s="14" t="n">
        <x:v>478</x:v>
      </x:c>
      <x:c r="D10" s="14" t="n">
        <x:v>1</x:v>
      </x:c>
      <x:c r="E10" s="12" t="str">
        <x:v>One unusually large Bintulu Operations maintenance expense.</x:v>
      </x:c>
      <x:c r="F10" s="14" t="n">
        <x:v>0</x:v>
      </x:c>
      <x:c r="G10" s="10" t="str">
        <x:v>Not Yet Processed</x:v>
      </x:c>
    </x:row>
    <x:row r="11">
      <x:c r="A11" s="12" t="str">
        <x:v>2025-10</x:v>
      </x:c>
      <x:c r="B11" s="12" t="str">
        <x:v>actual_transactions_2025_10.xlsx</x:v>
      </x:c>
      <x:c r="C11" s="14" t="n">
        <x:v>492</x:v>
      </x:c>
      <x:c r="D11" s="14" t="n">
        <x:v>1</x:v>
      </x:c>
      <x:c r="E11" s="12" t="str">
        <x:v>One repeated VendorID and DocumentNumber combination.</x:v>
      </x:c>
      <x:c r="F11" s="14" t="n">
        <x:v>0</x:v>
      </x:c>
      <x:c r="G11" s="10" t="str">
        <x:v>Not Yet Processed</x:v>
      </x:c>
    </x:row>
    <x:row r="12">
      <x:c r="A12" s="12" t="str">
        <x:v>2025-11</x:v>
      </x:c>
      <x:c r="B12" s="12" t="str">
        <x:v>actual_transactions_2025_11.xlsx</x:v>
      </x:c>
      <x:c r="C12" s="14" t="n">
        <x:v>486</x:v>
      </x:c>
      <x:c r="D12" s="14" t="n">
        <x:v>1</x:v>
      </x:c>
      <x:c r="E12" s="12" t="str">
        <x:v>One blank DepartmentID.</x:v>
      </x:c>
      <x:c r="F12" s="14" t="n">
        <x:v>0</x:v>
      </x:c>
      <x:c r="G12" s="10" t="str">
        <x:v>Not Yet Processed</x:v>
      </x:c>
    </x:row>
    <x:row r="13">
      <x:c r="A13" s="12" t="str">
        <x:v>2025-12</x:v>
      </x:c>
      <x:c r="B13" s="12" t="str">
        <x:v>actual_transactions_2025_12.xlsx</x:v>
      </x:c>
      <x:c r="C13" s="14" t="n">
        <x:v>484</x:v>
      </x:c>
      <x:c r="D13" s="14" t="n">
        <x:v>0</x:v>
      </x:c>
      <x:c r="E13" s="12" t="str">
        <x:v>None intentionally inserted.</x:v>
      </x:c>
      <x:c r="F13" s="14" t="n">
        <x:v>0</x:v>
      </x:c>
      <x:c r="G13" s="10" t="str">
        <x:v>Not Yet Processed</x:v>
      </x:c>
    </x:row>
    <x:row r="14">
      <x:c r="A14" s="21" t="str">
        <x:v>Annual Total</x:v>
      </x:c>
      <x:c r="B14" s="21" t="str">
        <x:v>12 source files</x:v>
      </x:c>
      <x:c r="C14" s="22" t="n">
        <x:v>5829</x:v>
      </x:c>
      <x:c r="D14" s="22" t="n">
        <x:v>9</x:v>
      </x:c>
      <x:c r="E14" s="21" t="str">
        <x:v>Nine documented issue records across actual transaction files.</x:v>
      </x:c>
      <x:c r="F14" s="22" t="n">
        <x:v>-1</x:v>
      </x:c>
      <x:c r="G14" s="21" t="str">
        <x:v>Not Yet Processed</x:v>
      </x:c>
    </x:row>
  </x:sheetData>
  <x:conditionalFormatting sqref="G2:G14">
    <x:cfRule type="expression" dxfId="7" priority="1">
      <x:formula>G2="Not Yet Processed"</x:formula>
    </x:cfRule>
    <x:cfRule type="expression" dxfId="8" priority="2">
      <x:formula>G2="Reconciled"</x:formula>
    </x:cfRule>
  </x:conditionalFormatting>
  <x:dataValidations count="1">
    <x:dataValidation type="list" sqref="G2:G14">
      <x:formula1>"Not Yet Processed,In Review,Reconciled,Exception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747927bed849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" hidden="0" customWidth="1"/>
    <x:col min="4" max="4" width="14" hidden="0" customWidth="1"/>
    <x:col min="5" max="5" width="12" hidden="0" customWidth="1"/>
    <x:col min="6" max="6" width="44" hidden="0" customWidth="1"/>
    <x:col min="7" max="7" width="52" hidden="0" customWidth="1"/>
  </x:cols>
  <x:sheetData>
    <x:row r="1">
      <x:c r="A1" s="31" t="str">
        <x:v>Data Quality Summary</x:v>
      </x:c>
      <x:c r="B1" s="31"/>
      <x:c r="C1" s="31"/>
      <x:c r="D1" s="31"/>
    </x:row>
    <x:row r="3">
      <x:c r="A3" s="35" t="str">
        <x:v>Metric</x:v>
      </x:c>
      <x:c r="B3" s="35" t="str">
        <x:v>Value</x:v>
      </x:c>
      <x:c r="D3" s="35" t="str">
        <x:v>Severity</x:v>
      </x:c>
      <x:c r="E3" s="35" t="str">
        <x:v>Count</x:v>
      </x:c>
      <x:c r="F3" s="35" t="str">
        <x:v>Meaning</x:v>
      </x:c>
      <x:c r="G3" s="35" t="str">
        <x:v>Expected response</x:v>
      </x:c>
    </x:row>
    <x:row r="4">
      <x:c r="A4" s="39" t="str">
        <x:v>Total documented issues</x:v>
      </x:c>
      <x:c r="B4" s="46" t="n">
        <x:f>COUNTA(Data_Quality_Register!A2:A11)</x:f>
        <x:v>10</x:v>
      </x:c>
      <x:c r="D4" s="10" t="str">
        <x:v>High</x:v>
      </x:c>
      <x:c r="E4" s="10" t="n">
        <x:f>COUNTIF(Data_Quality_Register!E2:E11,D4)</x:f>
        <x:v>7</x:v>
      </x:c>
      <x:c r="F4" s="10" t="str">
        <x:v>Could materially affect accuracy, completeness, or control reliability.</x:v>
      </x:c>
      <x:c r="G4" s="10" t="str">
        <x:v>Resolve or formally investigate before final reporting.</x:v>
      </x:c>
    </x:row>
    <x:row r="5">
      <x:c r="A5" s="39" t="str">
        <x:v>High-severity issues</x:v>
      </x:c>
      <x:c r="B5" s="46" t="n">
        <x:f>COUNTIF(Data_Quality_Register!E2:E11,"High")</x:f>
        <x:v>7</x:v>
      </x:c>
      <x:c r="D5" s="10" t="str">
        <x:v>Medium</x:v>
      </x:c>
      <x:c r="E5" s="10" t="n">
        <x:f>COUNTIF(Data_Quality_Register!E3:E12,D5)</x:f>
        <x:v>2</x:v>
      </x:c>
      <x:c r="F5" s="10" t="str">
        <x:v>Could affect analysis quality or require management explanation.</x:v>
      </x:c>
      <x:c r="G5" s="10" t="str">
        <x:v>Review, document, and retain or correct as appropriate.</x:v>
      </x:c>
    </x:row>
    <x:row r="6">
      <x:c r="A6" s="39" t="str">
        <x:v>Medium-severity issues</x:v>
      </x:c>
      <x:c r="B6" s="46" t="n">
        <x:f>COUNTIF(Data_Quality_Register!E2:E11,"Medium")</x:f>
        <x:v>2</x:v>
      </x:c>
      <x:c r="D6" s="10" t="str">
        <x:v>Low</x:v>
      </x:c>
      <x:c r="E6" s="10" t="n">
        <x:f>COUNTIF(Data_Quality_Register!E4:E13,D6)</x:f>
        <x:v>1</x:v>
      </x:c>
      <x:c r="F6" s="10" t="str">
        <x:v>Mainly presentation or standardisation related.</x:v>
      </x:c>
      <x:c r="G6" s="10" t="str">
        <x:v>Standardise during data preparation.</x:v>
      </x:c>
    </x:row>
    <x:row r="7">
      <x:c r="A7" s="39" t="str">
        <x:v>Low-severity issues</x:v>
      </x:c>
      <x:c r="B7" s="46" t="n">
        <x:f>COUNTIF(Data_Quality_Register!E2:E11,"Low")</x:f>
        <x:v>1</x:v>
      </x:c>
    </x:row>
    <x:row r="8">
      <x:c r="A8" s="39" t="str">
        <x:v>Actual-transaction issues</x:v>
      </x:c>
      <x:c r="B8" s="46" t="n">
        <x:f>COUNTIF(Data_Quality_Register!B2:B11,"Actual_Transactions")</x:f>
        <x:v>9</x:v>
      </x:c>
    </x:row>
    <x:row r="9">
      <x:c r="A9" s="39" t="str">
        <x:v>Budget issues</x:v>
      </x:c>
      <x:c r="B9" s="46" t="n">
        <x:f>COUNTIF(Data_Quality_Register!B2:B11,"Monthly_Budget")</x:f>
        <x:v>1</x:v>
      </x:c>
    </x:row>
    <x:row r="12">
      <x:c r="A12" s="3" t="str">
        <x:v>Processing Principle</x:v>
      </x:c>
      <x:c r="B12" s="3"/>
      <x:c r="C12" s="3"/>
      <x:c r="D12" s="3"/>
      <x:c r="E12" s="3"/>
      <x:c r="F12" s="3"/>
      <x:c r="G12" s="3"/>
    </x:row>
    <x:row r="13">
      <x:c r="A13" s="48" t="str">
        <x:v>1</x:v>
      </x:c>
      <x:c r="B13" s="10" t="str">
        <x:v>Preserve the raw files unchanged.</x:v>
      </x:c>
      <x:c r="C13" s="10"/>
      <x:c r="D13" s="10"/>
      <x:c r="E13" s="10"/>
      <x:c r="F13" s="10"/>
      <x:c r="G13" s="10"/>
    </x:row>
    <x:row r="14">
      <x:c r="A14" s="48" t="str">
        <x:v>2</x:v>
      </x:c>
      <x:c r="B14" s="10" t="str">
        <x:v>Document each transformation and exception decision.</x:v>
      </x:c>
      <x:c r="C14" s="10"/>
      <x:c r="D14" s="10"/>
      <x:c r="E14" s="10"/>
      <x:c r="F14" s="10"/>
      <x:c r="G14" s="10"/>
    </x:row>
    <x:row r="15">
      <x:c r="A15" s="48" t="str">
        <x:v>3</x:v>
      </x:c>
      <x:c r="B15" s="10" t="str">
        <x:v>Reconcile row counts and financial totals after cleaning.</x:v>
      </x:c>
      <x:c r="C15" s="10"/>
      <x:c r="D15" s="10"/>
      <x:c r="E15" s="10"/>
      <x:c r="F15" s="10"/>
      <x:c r="G15" s="10"/>
    </x:row>
    <x:row r="16">
      <x:c r="A16" s="48" t="str">
        <x:v>4</x:v>
      </x:c>
      <x:c r="B16" s="10" t="str">
        <x:v>Do not automatically remove unusual but valid transactions.</x:v>
      </x:c>
      <x:c r="C16" s="10"/>
      <x:c r="D16" s="10"/>
      <x:c r="E16" s="10"/>
      <x:c r="F16" s="10"/>
      <x:c r="G16" s="10"/>
    </x:row>
  </x:sheetData>
  <x:mergeCells>
    <x:mergeCell ref="A1:D1"/>
    <x:mergeCell ref="A12:G12"/>
    <x:mergeCell ref="B13:G13"/>
    <x:mergeCell ref="B14:G14"/>
    <x:mergeCell ref="B15:G15"/>
    <x:mergeCell ref="B16:G16"/>
  </x:mergeCells>
  <x:conditionalFormatting sqref="D4:D6">
    <x:cfRule type="expression" dxfId="9" priority="1">
      <x:formula>D4="High"</x:formula>
    </x:cfRule>
    <x:cfRule type="expression" dxfId="10" priority="2">
      <x:formula>D4="Medium"</x:formula>
    </x:cfRule>
    <x:cfRule type="expression" dxfId="11" priority="3">
      <x:formula>D4="Low"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52" t="str">
        <x:v>Data Quality Register</x:v>
      </x:c>
      <x:c r="B1" s="10"/>
    </x:row>
    <x:row r="2">
      <x:c r="A2" s="53" t="str">
        <x:v>Project</x:v>
      </x:c>
      <x:c r="B2" s="10" t="str">
        <x:v>Financial Reporting and Variance Analysis</x:v>
      </x:c>
    </x:row>
    <x:row r="3">
      <x:c r="A3" s="53" t="str">
        <x:v>Fictional Company</x:v>
      </x:c>
      <x:c r="B3" s="10" t="str">
        <x:v>Borneo Business Solutions Sdn. Bhd.</x:v>
      </x:c>
    </x:row>
    <x:row r="4">
      <x:c r="A4" s="53" t="str">
        <x:v>Purpose</x:v>
      </x:c>
      <x:c r="B4" s="10" t="str">
        <x:v>Documents intentional raw-data issues, validation rules, expected treatments, and reconciliation requirements for the project.</x:v>
      </x:c>
    </x:row>
    <x:row r="5">
      <x:c r="A5" s="53" t="str">
        <x:v>Scope</x:v>
      </x:c>
      <x:c r="B5" s="10" t="str">
        <x:v>Monthly Budget and 12 monthly Actual Transaction files for January to December 2025.</x:v>
      </x:c>
    </x:row>
    <x:row r="6">
      <x:c r="A6" s="53" t="str">
        <x:v>Issue Register Grain</x:v>
      </x:c>
      <x:c r="B6" s="10" t="str">
        <x:v>One row represents one documented data-quality issue or exception scenario.</x:v>
      </x:c>
    </x:row>
    <x:row r="7">
      <x:c r="A7" s="53" t="str">
        <x:v>Raw Data Principle</x:v>
      </x:c>
      <x:c r="B7" s="10" t="str">
        <x:v>The source files should remain unchanged. Cleaning and correction should be performed in Power Query or downstream processed tables.</x:v>
      </x:c>
    </x:row>
    <x:row r="8">
      <x:c r="A8" s="53" t="str">
        <x:v>Audit Trail</x:v>
      </x:c>
      <x:c r="B8" s="10" t="str">
        <x:v>Every removed, corrected, or accepted record should be traceable to an IssueID and documented treatment.</x:v>
      </x:c>
    </x:row>
    <x:row r="9">
      <x:c r="A9" s="53" t="str">
        <x:v>Duplicate Treatment</x:v>
      </x:c>
      <x:c r="B9" s="10" t="str">
        <x:v>Exact duplicate transaction rows may be removed once. Repeated vendor invoice references must be flagged for review rather than automatically deleted.</x:v>
      </x:c>
    </x:row>
    <x:row r="10">
      <x:c r="A10" s="53" t="str">
        <x:v>Missing Values</x:v>
      </x:c>
      <x:c r="B10" s="10" t="str">
        <x:v>Blank required keys should be investigated and resolved or excluded before final reporting.</x:v>
      </x:c>
    </x:row>
    <x:row r="11">
      <x:c r="A11" s="53" t="str">
        <x:v>Unusual Transactions</x:v>
      </x:c>
      <x:c r="B11" s="10" t="str">
        <x:v>Large but valid transactions should remain in the dataset and receive management commentary.</x:v>
      </x:c>
    </x:row>
    <x:row r="12">
      <x:c r="A12" s="53" t="str">
        <x:v>Reconciliation</x:v>
      </x:c>
      <x:c r="B12" s="10" t="str">
        <x:v>Raw and processed row counts and financial totals must reconcile after documented adjustments.</x:v>
      </x:c>
    </x:row>
    <x:row r="13">
      <x:c r="A13" s="53" t="str">
        <x:v>Status</x:v>
      </x:c>
      <x:c r="B13" s="10" t="str">
        <x:v>Version 1.0 - Raw-data quality control framework</x:v>
      </x:c>
    </x:row>
  </x:sheetData>
  <x:mergeCells>
    <x:mergeCell ref="A1:B1"/>
  </x:mergeCells>
  <x:pageMargins left="0.7" right="0.7" top="0.75" bottom="0.75" header="0.3" footer="0.3"/>
</x:worksheet>
</file>